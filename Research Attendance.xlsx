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6" sheetId="2" r:id="rId5"/>
    <sheet state="visible" name="RQ3 t test dependent" sheetId="3" r:id="rId6"/>
    <sheet state="visible" name="RQ1 frequency and percentage" sheetId="4" r:id="rId7"/>
  </sheets>
  <definedNames>
    <definedName name="MY_FUNCTION1">LAMBDA(BYCOL(Sheet6!$N$121:$W$121))</definedName>
  </definedNames>
  <calcPr/>
</workbook>
</file>

<file path=xl/sharedStrings.xml><?xml version="1.0" encoding="utf-8"?>
<sst xmlns="http://schemas.openxmlformats.org/spreadsheetml/2006/main" count="1164" uniqueCount="524">
  <si>
    <t>Timestamp</t>
  </si>
  <si>
    <t>Parent/Guardian Full Name</t>
  </si>
  <si>
    <t>Name Of Student</t>
  </si>
  <si>
    <t>Relationship Of Student</t>
  </si>
  <si>
    <t>Do you agree that your child’s name can be used in this research and related publications?</t>
  </si>
  <si>
    <t>I have read and understood the information provided above. I voluntarily give permission for my child to participate in the study entitled:
   “The Effectiveness of EAALIA Mobile Application in Improving Students' Attendance in School for A.Y. 2025–2026.”</t>
  </si>
  <si>
    <t>Parent/Guardian Name (Upload A Picture Of Your Signature Below)</t>
  </si>
  <si>
    <t>Date Signed (Date)</t>
  </si>
  <si>
    <t>Grade And Section</t>
  </si>
  <si>
    <t>Daryl Delacerna</t>
  </si>
  <si>
    <t>Trisha Leigh Tadle</t>
  </si>
  <si>
    <t>Mother</t>
  </si>
  <si>
    <t>Yes, I agree</t>
  </si>
  <si>
    <t>I give my full consent for my child to participate.</t>
  </si>
  <si>
    <t>https://drive.google.com/open?id=16RrCvJ1r9j8HnfcCWflL2StY7m2WS574</t>
  </si>
  <si>
    <t>10.16.2025</t>
  </si>
  <si>
    <t>Cherry May Magkidong</t>
  </si>
  <si>
    <t>Aldrich Maverick Gatdula</t>
  </si>
  <si>
    <t>https://drive.google.com/open?id=1mqM-bKSxekf5LiMslJqmZnkQnS0LvuHA</t>
  </si>
  <si>
    <t>10/15/2025</t>
  </si>
  <si>
    <t>Ruden A. Madriaga</t>
  </si>
  <si>
    <t>Zackarry Daniel B. Madriaga</t>
  </si>
  <si>
    <t>Father</t>
  </si>
  <si>
    <t>October 16, 2025</t>
  </si>
  <si>
    <t>Noel Mariquit</t>
  </si>
  <si>
    <t>Micheal Angelo Mariquit</t>
  </si>
  <si>
    <t>Romeo razo</t>
  </si>
  <si>
    <t>rhienno razo</t>
  </si>
  <si>
    <t>Guardian</t>
  </si>
  <si>
    <t>No, I do not agree.</t>
  </si>
  <si>
    <t>October 16</t>
  </si>
  <si>
    <t>Clarita Lacia</t>
  </si>
  <si>
    <t>Kylr Shawn Jhustyn Ardepolla</t>
  </si>
  <si>
    <t>Grandmother</t>
  </si>
  <si>
    <t>John Paul A. Fuentes</t>
  </si>
  <si>
    <t>John Praveen A. Fuentes</t>
  </si>
  <si>
    <t>16/10/2025</t>
  </si>
  <si>
    <t>melody Delos Reyes</t>
  </si>
  <si>
    <t>Lancelot Obias</t>
  </si>
  <si>
    <t>10/16/2025</t>
  </si>
  <si>
    <t>Manilyn Espinosa</t>
  </si>
  <si>
    <t>Trixie Espinosa</t>
  </si>
  <si>
    <t>https://drive.google.com/open?id=1ZooNpKoDF5iVhQaDeV_3VCawtdysW6Xv</t>
  </si>
  <si>
    <t>10.16.25</t>
  </si>
  <si>
    <t>Mirasol Cabrera.Mericuelo</t>
  </si>
  <si>
    <t>Mary Bless C. Mericuelo</t>
  </si>
  <si>
    <t>10/16/25</t>
  </si>
  <si>
    <t>Oct. 16 2025</t>
  </si>
  <si>
    <t xml:space="preserve">Cesar Aposacas </t>
  </si>
  <si>
    <t xml:space="preserve">Zyreine Montefalcon </t>
  </si>
  <si>
    <t>https://drive.google.com/open?id=193L4-3uzJwgdWroWNLVvCWESWwwZJ-Yb</t>
  </si>
  <si>
    <t>10/17/25</t>
  </si>
  <si>
    <t>Gilbert Darunday</t>
  </si>
  <si>
    <t>Geshka Franxine Jovied S. Darunday</t>
  </si>
  <si>
    <t>James Melvin S. Galanida</t>
  </si>
  <si>
    <t>Renz Kyle M. Galanida</t>
  </si>
  <si>
    <t>https://drive.google.com/open?id=1pb9H3p0CtNOeqLWAhUUnOSRN3xcRYIaD</t>
  </si>
  <si>
    <t>October 19, 2025</t>
  </si>
  <si>
    <t>Cora N. Delcampo</t>
  </si>
  <si>
    <t>James Andrew N. Parba</t>
  </si>
  <si>
    <t xml:space="preserve">Juvy A. Ennio </t>
  </si>
  <si>
    <t xml:space="preserve">Alkayser A. Ennio </t>
  </si>
  <si>
    <t>Gelyn dela torre</t>
  </si>
  <si>
    <t>Jhameelah Dela Torre</t>
  </si>
  <si>
    <t>Anna Mae Gomez</t>
  </si>
  <si>
    <t>Fabio Gomez</t>
  </si>
  <si>
    <t>October 26, 2025</t>
  </si>
  <si>
    <t>Claire ann delos reyes</t>
  </si>
  <si>
    <t>Randolph clarence mangmang</t>
  </si>
  <si>
    <t>Dorina Zafra</t>
  </si>
  <si>
    <t xml:space="preserve">Jan Francis Zafra </t>
  </si>
  <si>
    <t>https://drive.google.com/open?id=1BeehoqBIBM14PACOsyP7zelqJzjz6V3i</t>
  </si>
  <si>
    <t>November 03 2025</t>
  </si>
  <si>
    <t>12-OLF</t>
  </si>
  <si>
    <t>Ivy Marie Aquino Masaspet</t>
  </si>
  <si>
    <t>Marco Antonio A. Masaspet</t>
  </si>
  <si>
    <t>https://drive.google.com/open?id=1BX3_uYqBVQRsbdFkrJ-8BU85zXUkSIiO</t>
  </si>
  <si>
    <t>8-SLR</t>
  </si>
  <si>
    <t>Liezl Fuentes</t>
  </si>
  <si>
    <t>Chientzy Erl Fuentes</t>
  </si>
  <si>
    <t>https://drive.google.com/open?id=17LkgnCAiIxI3lsFiabm1DiRaXXV_wS7B</t>
  </si>
  <si>
    <t>10-SR</t>
  </si>
  <si>
    <t>Eleonor Bitang</t>
  </si>
  <si>
    <t>Princess Bitang</t>
  </si>
  <si>
    <t>https://drive.google.com/open?id=1O7yz8vAz5s5vV2_cXPBYLsUBxE2xanrB</t>
  </si>
  <si>
    <t>8-SK</t>
  </si>
  <si>
    <t>Ally Eding</t>
  </si>
  <si>
    <t>Julz Miguel Eding Salveron</t>
  </si>
  <si>
    <t>https://drive.google.com/open?id=1TfuTBjiFZnZQnzkFDMadiOk6nkPR8Ykt</t>
  </si>
  <si>
    <t>9-SN</t>
  </si>
  <si>
    <t>Maria Rosario Roselita</t>
  </si>
  <si>
    <t xml:space="preserve"> Cyrus Villanueva Roselita</t>
  </si>
  <si>
    <t>https://drive.google.com/open?id=1l2g-Gw-5qhfnUgbH_jj2Go09F2MnrKnI</t>
  </si>
  <si>
    <t>10-SPC</t>
  </si>
  <si>
    <t>Susan Locsin Mesiona</t>
  </si>
  <si>
    <t>Kazell Mae Locsin</t>
  </si>
  <si>
    <t>Lilibeth Ocon</t>
  </si>
  <si>
    <t>OCON, GABRIEL TIBURICO</t>
  </si>
  <si>
    <t>10-2-2025</t>
  </si>
  <si>
    <t>9 - SMG</t>
  </si>
  <si>
    <t>Cherry Buenaflor</t>
  </si>
  <si>
    <t>Stephan Jade Buenaflor</t>
  </si>
  <si>
    <t>9- SMG</t>
  </si>
  <si>
    <t>Rose Marie Evangelista</t>
  </si>
  <si>
    <t>Maria Eloisa Evangelista</t>
  </si>
  <si>
    <t>10 - Saint Reymond</t>
  </si>
  <si>
    <t>Nathan Estomata</t>
  </si>
  <si>
    <t>Nicole Estomata</t>
  </si>
  <si>
    <t>10 - SPC</t>
  </si>
  <si>
    <t>Razel Reyes</t>
  </si>
  <si>
    <t>Zacchaeus Grayne Reyes</t>
  </si>
  <si>
    <t>8 - SJB</t>
  </si>
  <si>
    <t>Rose Sequira</t>
  </si>
  <si>
    <t>Ashley Mae Sequira</t>
  </si>
  <si>
    <t>8 -SJB</t>
  </si>
  <si>
    <t>Rosario Gomez</t>
  </si>
  <si>
    <t>Nulah Gomez</t>
  </si>
  <si>
    <t>Mirabel Talento</t>
  </si>
  <si>
    <t xml:space="preserve"> TALENTO, SAMANTHA</t>
  </si>
  <si>
    <t>Cousin</t>
  </si>
  <si>
    <t>grade 8 - SK</t>
  </si>
  <si>
    <t>Jennifer Torres</t>
  </si>
  <si>
    <t>Angela Torres</t>
  </si>
  <si>
    <t>10 - SR</t>
  </si>
  <si>
    <t>Janine lintapan estolonio</t>
  </si>
  <si>
    <t>Janina Jzyth Estolonio</t>
  </si>
  <si>
    <t>Arlene Tolosa</t>
  </si>
  <si>
    <t>KYLE CHRISTOPHER TOLOSA</t>
  </si>
  <si>
    <t>dolly dindin capuyan</t>
  </si>
  <si>
    <t>Rheena Lourdes M. Baganza</t>
  </si>
  <si>
    <t>Joy Bacalso</t>
  </si>
  <si>
    <t xml:space="preserve"> Ysha Yumi Bacalso</t>
  </si>
  <si>
    <t>https://drive.google.com/open?id=1Fcu2mQdRDFEAJcBENsrxJWI4YM0FIs8K</t>
  </si>
  <si>
    <t>Bernafe Cabaco</t>
  </si>
  <si>
    <t>Izo Miguel Cabaco</t>
  </si>
  <si>
    <t>https://drive.google.com/open?id=1uKC8iEeRvIYh-beuE2S9C6HXWKtutVCb</t>
  </si>
  <si>
    <t>Ybeth Moreno</t>
  </si>
  <si>
    <t>Jhohanne Rhelcy Moreno Libo-On</t>
  </si>
  <si>
    <t>https://drive.google.com/open?id=1l8YtCUDjb83qFn33sTsJXON9zQIVuxh6</t>
  </si>
  <si>
    <t xml:space="preserve">Sina S. Loro </t>
  </si>
  <si>
    <t xml:space="preserve">Rafael S. Loro </t>
  </si>
  <si>
    <t>https://drive.google.com/open?id=1x1pqXsrLi83ccHdKl8LfCKXuBuKBjkcr</t>
  </si>
  <si>
    <t>Mary Jane Galima</t>
  </si>
  <si>
    <t>Princess Renesmee Galima</t>
  </si>
  <si>
    <t>https://drive.google.com/open?id=1K2FWLXh5tdJriHdG1iFNe-D5iTW17xjm</t>
  </si>
  <si>
    <t>Shiela Mae Cifra</t>
  </si>
  <si>
    <t>Inaki Franco Cifra</t>
  </si>
  <si>
    <t>https://drive.google.com/open?id=1THvBfoAWnygfJKyU21isZhx9DJRj0rF-</t>
  </si>
  <si>
    <t>JN Caluma</t>
  </si>
  <si>
    <t>Dane Marquix Nietes Caluma</t>
  </si>
  <si>
    <t>https://drive.google.com/open?id=13YTmmwiTWsJ1l1ts5AjoHlFS61OmR2dA</t>
  </si>
  <si>
    <t>12-OLA</t>
  </si>
  <si>
    <t>Donesa Shine</t>
  </si>
  <si>
    <t>Jessan Jade Dumandan Adlawan</t>
  </si>
  <si>
    <t>https://drive.google.com/open?id=1tZir4hlToABtikQRGpy2KgKrnoT1kOFg</t>
  </si>
  <si>
    <t>Rosalita Saludo Cañeda</t>
  </si>
  <si>
    <t>Jhon Nazarith S. Cañeda</t>
  </si>
  <si>
    <t>https://drive.google.com/open?id=1P82nR_lqZQ8EGSl0nelOFKhkgjjNmy3f</t>
  </si>
  <si>
    <t>9-SMG</t>
  </si>
  <si>
    <t>Susan L. Mesiona</t>
  </si>
  <si>
    <t>https://drive.google.com/open?id=1sliPU_AgCq2ryWiVyRG8K57xCQWG8RmN</t>
  </si>
  <si>
    <t>Arjelyn Hernando Arce-Villamor</t>
  </si>
  <si>
    <t>Prince Arrianne A. Ompar</t>
  </si>
  <si>
    <t>https://drive.google.com/open?id=1C_oLW1cOe4yOXWfspNTIHOoNx1jVQm4B</t>
  </si>
  <si>
    <t>Joy Garrote</t>
  </si>
  <si>
    <t>Howard Emmanuel G. Pizon</t>
  </si>
  <si>
    <t>https://drive.google.com/open?id=1bWAqwXuutfqi4NNFr4VpuGB5gQV8BHb7</t>
  </si>
  <si>
    <t>Cherry Gaborne</t>
  </si>
  <si>
    <t>Keisha Faye O. Gaborne</t>
  </si>
  <si>
    <t>https://drive.google.com/open?id=1pmzKLN6Kb_sZ_ej7hI_IvxH4nI_88wCQ</t>
  </si>
  <si>
    <t>Jade Mira Flores</t>
  </si>
  <si>
    <t>Janelle Bongator Villanueva</t>
  </si>
  <si>
    <t>https://drive.google.com/open?id=1BpbUDlkBioi-yeGyAdLBtF5cTlh9ibpK</t>
  </si>
  <si>
    <t xml:space="preserve">Marilyn D. Alipio </t>
  </si>
  <si>
    <t>Khiezel Yurian D. Alipio</t>
  </si>
  <si>
    <t>https://drive.google.com/open?id=1UvOWvohrYLtVnVJ_lvupCIIlYFAXe_Zi</t>
  </si>
  <si>
    <t>Ofelia Paña Quiaoit</t>
  </si>
  <si>
    <t>ALLEN BRIX QUIAOIT PAMAOS</t>
  </si>
  <si>
    <t>https://drive.google.com/open?id=1ZIFxiuW36nqHdCmM06eX20-l61QF6ZVq</t>
  </si>
  <si>
    <t>12-OLL</t>
  </si>
  <si>
    <r>
      <rPr>
        <rFont val="Arial"/>
        <b/>
        <color theme="1"/>
      </rPr>
      <t>1</t>
    </r>
    <r>
      <rPr>
        <rFont val="Arial"/>
        <color theme="1"/>
      </rPr>
      <t xml:space="preserve"> = absents </t>
    </r>
    <r>
      <rPr>
        <rFont val="Arial"/>
        <b/>
        <color theme="1"/>
      </rPr>
      <t xml:space="preserve">0 </t>
    </r>
    <r>
      <rPr>
        <rFont val="Arial"/>
        <color theme="1"/>
      </rPr>
      <t>= Late   2 = Present</t>
    </r>
  </si>
  <si>
    <t>NAME:</t>
  </si>
  <si>
    <t>10/ 8</t>
  </si>
  <si>
    <t>ALONSO, ETHAN</t>
  </si>
  <si>
    <t>ARDEPOLLA, KYLR SHAWN</t>
  </si>
  <si>
    <t>DIACOSTA, ANTHONY JOHN</t>
  </si>
  <si>
    <t>FUENTES, JOHN PRAVEEN</t>
  </si>
  <si>
    <t>GOMEZ, FABIO</t>
  </si>
  <si>
    <t>LOPEZ, SANTI GABRIELLE</t>
  </si>
  <si>
    <t>ORAYLE, RHEAMBOY CRISPIN</t>
  </si>
  <si>
    <t>RAZO, RHIENNO</t>
  </si>
  <si>
    <t>TUMONGHA, LUIS ANTHONIO</t>
  </si>
  <si>
    <t>BITANG, PRINCESS</t>
  </si>
  <si>
    <t>DARUNDAY, GESHKA</t>
  </si>
  <si>
    <t>DUMANDAN, ZYRAH</t>
  </si>
  <si>
    <t>ESTILLORE, CHLOE JEAN</t>
  </si>
  <si>
    <t>GALIMA, PRINCESS RENESMEE</t>
  </si>
  <si>
    <t>LIMBOY, LEINIE</t>
  </si>
  <si>
    <t>TALENTO, SAMANTHA</t>
  </si>
  <si>
    <t>GAMAD, KEINTH ALFRED SILVA</t>
  </si>
  <si>
    <t>REYES, ZACCHAEUS GRAYNE PINAT</t>
  </si>
  <si>
    <t>SEQUIRA, ASHELY MAE TAD E</t>
  </si>
  <si>
    <t>ADLAWAN, JESSAN JADE DUMANDAN</t>
  </si>
  <si>
    <t>CABACO, IZO MIGUEL</t>
  </si>
  <si>
    <t>LIBO-ON, JHOHANNE RHELCY MORENO</t>
  </si>
  <si>
    <t>LORO, RAFAEL SALLE</t>
  </si>
  <si>
    <t>MADRIAGA, ZACKARRY DANIEL BORRAS</t>
  </si>
  <si>
    <t>MANGARON, DONNIE LIAN MONTAJES</t>
  </si>
  <si>
    <t>MASASPET, MARCO ANTONIO AQUINO</t>
  </si>
  <si>
    <t>BELOSTRINO, ALDRICH MANLIGOY</t>
  </si>
  <si>
    <t>BUENAFLOR, STEPHAN JADE CUESTA</t>
  </si>
  <si>
    <t>CANEDA, JHON NAZARITH SALUDO</t>
  </si>
  <si>
    <t>GATDULA, ALDRICH MAVERICK MAGKIDONG</t>
  </si>
  <si>
    <t>MARIQUIT, MICHEAL ANGELO SALIGUMBA</t>
  </si>
  <si>
    <t>OMPAR, PRINCE ARRIANNE ARCE</t>
  </si>
  <si>
    <t>PARBA, JAMES ANDREW NOYNAY</t>
  </si>
  <si>
    <t>ESTOLONIO, JANINA JZYTH LINTAPAN</t>
  </si>
  <si>
    <t>MANTES, ALLANA KING</t>
  </si>
  <si>
    <t>PERALES, PRINCESS ZAIRA LOPEZ</t>
  </si>
  <si>
    <t>GOLES, MIGUEL INIGO ALEGRIA</t>
  </si>
  <si>
    <t>SALVERON, JULZ MIGUEL EDING</t>
  </si>
  <si>
    <t>TADLE, TRISHA LEIGH DELA CERNA</t>
  </si>
  <si>
    <t>ALIPIO, KHIEZEL YURIAN DAYO</t>
  </si>
  <si>
    <t>DIVINAGRACIA, LI ZION ABAYON</t>
  </si>
  <si>
    <t>GALANIDA, RENZ KYLE MAMPARO</t>
  </si>
  <si>
    <t>MANGMANG, RANDOLPH CLARENCE DELOS REYES</t>
  </si>
  <si>
    <t>ROSALITA, CYRUS VILLANUEVA</t>
  </si>
  <si>
    <t>ALBINA, CELESTE MONIQUE FUENTES</t>
  </si>
  <si>
    <t>DELA TORRE, JHAMEELAH</t>
  </si>
  <si>
    <t>ESTOMATA, NICOLE BOTA</t>
  </si>
  <si>
    <t>GABORNE, KEISHA FAYE OCCIDA</t>
  </si>
  <si>
    <t>GOMEZ, NULAH JUSTINIANE</t>
  </si>
  <si>
    <t>LANDAS, PRINCESS HEBA USOP</t>
  </si>
  <si>
    <t>LOCSIN, KAZELL MAE</t>
  </si>
  <si>
    <t>MACASA, JIAN CHLOE TE</t>
  </si>
  <si>
    <t>MANINGO, JULIARA MAUREEN APARECE</t>
  </si>
  <si>
    <t>TAMIMI, MAYUMI PAYAG</t>
  </si>
  <si>
    <t>TUMONGHA, SAMANTHA</t>
  </si>
  <si>
    <t>VILLANUEVA,, JANELLE BONGATOR</t>
  </si>
  <si>
    <t>BANEZ, FARRELLE ANTHONY VILLA</t>
  </si>
  <si>
    <t>CIFRA, INAKI FRANCO CALAMBA</t>
  </si>
  <si>
    <t>DUBLIN, MARCUS DIEGO EDING</t>
  </si>
  <si>
    <t>LIM, KIRBY BRET MATA</t>
  </si>
  <si>
    <t>MACATUAL, JAMES RYAN CASOL</t>
  </si>
  <si>
    <t>OBIAS, FRANCIS LANCELOT DELOS REYES</t>
  </si>
  <si>
    <t>PIZON, HOWARD EMMANUEL GARROTE</t>
  </si>
  <si>
    <t>TOLOSA, KYLE CHRISTOPHER LIRAY</t>
  </si>
  <si>
    <t>BACALSO, YSHA YUMI</t>
  </si>
  <si>
    <t>BRAGANZA, RHEENA LOURDES MESIONA</t>
  </si>
  <si>
    <t>CORTUNA, JAYCEN ANGEL ONCE</t>
  </si>
  <si>
    <t>ESPANUEVA, ASHANTI MANALILI</t>
  </si>
  <si>
    <t>EVANGELISTA, MA. ELOISA DARUNDAY</t>
  </si>
  <si>
    <t>FUENTES, CHIENTZY ERL DEQUINA</t>
  </si>
  <si>
    <t>LAFUENTE, IANNAH RENZY MAY NISHIMURA</t>
  </si>
  <si>
    <t>LATORENO, ERICA JULIANA MORAL</t>
  </si>
  <si>
    <t>LIMBOY, LEIANE JANE TAJANTAJAN</t>
  </si>
  <si>
    <t>MAMALIS, HONEY MARY SANSAN</t>
  </si>
  <si>
    <t>MATA, CARIZA SHANA TERANTE</t>
  </si>
  <si>
    <t>MERICUELO, MARY BLESS CABRERA</t>
  </si>
  <si>
    <t>SOLEDAD, RHEAN LEE PEREZ</t>
  </si>
  <si>
    <t>TORRES, ANGELA DENISE BA</t>
  </si>
  <si>
    <t>ACQUAS, EFREN JR. FEBRE</t>
  </si>
  <si>
    <t>ALFECHE, GERALD JR TRESVALLES</t>
  </si>
  <si>
    <t>CABABAROS, MITCH DUANNE SANTINO BALUYA</t>
  </si>
  <si>
    <t>MATUGUINA, GABRIEL ANDREI TABOADA</t>
  </si>
  <si>
    <t>PACOT, KIRK RUBEN</t>
  </si>
  <si>
    <t>ZAFRA, JAN FRANCIS SAMPAN</t>
  </si>
  <si>
    <t>ANCAPOY, VIANCELLE BONCALES</t>
  </si>
  <si>
    <t>LOBERIZA, LADY APPLE ONDONG</t>
  </si>
  <si>
    <t>ONGCOY, MARIA THERESA</t>
  </si>
  <si>
    <t>CEROJALES, PETER CEDRICK INTO</t>
  </si>
  <si>
    <t>PASCUA, ROBERT JALA</t>
  </si>
  <si>
    <t>SIMANGAN, RIZA VANEZA LIM</t>
  </si>
  <si>
    <t>VIRTUCIO, SHANNIA LYNN BUCHAN</t>
  </si>
  <si>
    <t>CAJES, JAKE MURPHY BULACOY</t>
  </si>
  <si>
    <t>CALUMA, DANE MARQUIX NIETES</t>
  </si>
  <si>
    <t>ENRIQUEZ, TROY ANDREW LERON</t>
  </si>
  <si>
    <t>PAYOT, ELDWOOD MEDEL</t>
  </si>
  <si>
    <t>VILLAMOR, ALLEN KEITH ROSEL</t>
  </si>
  <si>
    <t>CADAVA, CHLOE BERNESS MANGLICMOT</t>
  </si>
  <si>
    <t>JALAMAN, RANMAE JOY BALILI</t>
  </si>
  <si>
    <t>LOSBAÑES, SERJHIA SERGS ROSALITA</t>
  </si>
  <si>
    <t>LUSAYNON, REYANNE KATRICE CORBITA</t>
  </si>
  <si>
    <t>PAÑAMOGAN, ROJIEL JOYCE</t>
  </si>
  <si>
    <t>RABANG, JAMILA ROISIN OBENZA</t>
  </si>
  <si>
    <t>ROSAROSO, KYRA CARMELLA BAHAYA</t>
  </si>
  <si>
    <t>BINOBO, JOMER FUENTES</t>
  </si>
  <si>
    <t>LICEN, FRANCIS TAN</t>
  </si>
  <si>
    <t>LIGUTAN, KRIS JAY PORRAS</t>
  </si>
  <si>
    <t>MASUNONG, MICHAEL DUNAN</t>
  </si>
  <si>
    <t>PAMAOS, ALLEN BRIX QUIAOIT</t>
  </si>
  <si>
    <t>TANGONAN, XYZE ΝΕΜΟ ΜΑÑEGO</t>
  </si>
  <si>
    <t>APUD, ASHLEY MARIE MANCERA</t>
  </si>
  <si>
    <t>DAGOHOY, AVRIL SHANDY SABIDO</t>
  </si>
  <si>
    <t>LEE, PATRICIA ANNE SUNGA</t>
  </si>
  <si>
    <t>PANGA, NICOLE MISAL</t>
  </si>
  <si>
    <t>SANCHEZ, PRINCESS LYN MAGUINSAY</t>
  </si>
  <si>
    <t>Frequency (0 = Late, 1 = Absent, 2 = Present)</t>
  </si>
  <si>
    <t>MEAN</t>
  </si>
  <si>
    <t>STANDARD DEVIATION</t>
  </si>
  <si>
    <t>Percentage (1 = absents 0 = Late)</t>
  </si>
  <si>
    <t>Total</t>
  </si>
  <si>
    <t>no. of students</t>
  </si>
  <si>
    <t>Percentage</t>
  </si>
  <si>
    <t>Grade 8</t>
  </si>
  <si>
    <t>Grade 9</t>
  </si>
  <si>
    <t>Grade 10</t>
  </si>
  <si>
    <t>Grade 12</t>
  </si>
  <si>
    <t>attendance of students</t>
  </si>
  <si>
    <t>names</t>
  </si>
  <si>
    <t>absences</t>
  </si>
  <si>
    <t>lates</t>
  </si>
  <si>
    <t>2024-2025</t>
  </si>
  <si>
    <t>2025-2026</t>
  </si>
  <si>
    <t>LATE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</si>
  <si>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</si>
  <si>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</si>
  <si>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</si>
  <si>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</si>
  <si>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</si>
  <si>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</si>
  <si>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</si>
  <si>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</si>
  <si>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</si>
  <si>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</si>
  <si>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</si>
  <si>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</si>
  <si>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absents</t>
  </si>
  <si>
    <t>grade 9 - smg</t>
  </si>
  <si>
    <t>10/20, 10/22, 11/4</t>
  </si>
  <si>
    <t>n/a</t>
  </si>
  <si>
    <t>Parba, James Andrew Noynay</t>
  </si>
  <si>
    <t>10/13, 10/14/, 10/15</t>
  </si>
  <si>
    <t>10/ 20, 10/22, 11/6</t>
  </si>
  <si>
    <t>10/13 10/14</t>
  </si>
  <si>
    <t>ABSENT</t>
  </si>
  <si>
    <t>10/13, 10/14, 10/15, 10/22, 10/13, 11/5</t>
  </si>
  <si>
    <t>10/15, 11/3, 11/5</t>
  </si>
  <si>
    <t>TALENTO, SAMANTHA VENICE SALIGUMBA</t>
  </si>
  <si>
    <t>8-sk</t>
  </si>
  <si>
    <t>10/13, 10/14, 10/16, 10/23</t>
  </si>
  <si>
    <t>10/14, 11/5</t>
  </si>
  <si>
    <t xml:space="preserve">10/21, 11/3, </t>
  </si>
  <si>
    <t>Darunday, Geshka</t>
  </si>
  <si>
    <t>10/21, 11/3</t>
  </si>
  <si>
    <t>10/21, 10/22, 10/23, 11/4</t>
  </si>
  <si>
    <t>10/16, 10,20, 10/22, 10/23</t>
  </si>
  <si>
    <t>11/4, 11/5, 11/6</t>
  </si>
  <si>
    <t>8-slr</t>
  </si>
  <si>
    <t>Alonso, Ethan</t>
  </si>
  <si>
    <t>Dicosta, Anthony John</t>
  </si>
  <si>
    <t>Lopez, Santi Gabrielle</t>
  </si>
  <si>
    <t>Orayle, Rheambboy Crispin</t>
  </si>
  <si>
    <t>Galanida, Renz Kyle Mamparo</t>
  </si>
  <si>
    <t>Tumongha, Luis Anthonio</t>
  </si>
  <si>
    <t>Obias, Francis Lancelot Delos Reyes</t>
  </si>
  <si>
    <t>Bitang, Princess</t>
  </si>
  <si>
    <t>Mericuelo, Mary Bless Cabrera</t>
  </si>
  <si>
    <t>Dumandan, Zyrah</t>
  </si>
  <si>
    <t>Fuentes, John Praveen</t>
  </si>
  <si>
    <t>Estillore, Chloe Jean</t>
  </si>
  <si>
    <t>Galims, Princess Renesmee</t>
  </si>
  <si>
    <t>Limboy, Leinie</t>
  </si>
  <si>
    <t>Gatdula, Aldrich Maverick</t>
  </si>
  <si>
    <t>Talento, Samantha</t>
  </si>
  <si>
    <t>Mariquit, Micheal Angelo</t>
  </si>
  <si>
    <t>diacosta</t>
  </si>
  <si>
    <t>10/13, 10/14, 10/23</t>
  </si>
  <si>
    <t>Cerojales, Peter Cedrick Into</t>
  </si>
  <si>
    <t>8-sjb</t>
  </si>
  <si>
    <t>Gamad, Keinth Alfred Silva</t>
  </si>
  <si>
    <t>Reyes, Zacchaeus Grayne Pinat</t>
  </si>
  <si>
    <t>Tamimi, Mayumi Payag</t>
  </si>
  <si>
    <t>Sequira, Ashley Mae Tad E</t>
  </si>
  <si>
    <t>Diacosta, Anthony John</t>
  </si>
  <si>
    <t>FREQUENCY</t>
  </si>
  <si>
    <t>Days of Abcences</t>
  </si>
  <si>
    <t>10-sr</t>
  </si>
  <si>
    <t>Banez, Farrelle Anthony Villa</t>
  </si>
  <si>
    <t>Cifra, Inaki Franco  Calamba</t>
  </si>
  <si>
    <t>Dublin, Marcus Diego Eding</t>
  </si>
  <si>
    <t>Lim, Kirby Bret Mata</t>
  </si>
  <si>
    <t>Macatual, James Ryan Casol</t>
  </si>
  <si>
    <t>Pizon, Howard Emmanuel Garrote</t>
  </si>
  <si>
    <t>Tolosa, Kyle Cristopher Liray</t>
  </si>
  <si>
    <t>Bacalso, Ysha Yumi</t>
  </si>
  <si>
    <t>Braganza, Rheena Lourdes Mesiona</t>
  </si>
  <si>
    <t>Cortuna, Jaycen Angell Once</t>
  </si>
  <si>
    <t>Count</t>
  </si>
  <si>
    <t>Espanueva, Ashanti Manalili</t>
  </si>
  <si>
    <t>Sum</t>
  </si>
  <si>
    <t>Evangelista, Ma. Eloisa Darunday</t>
  </si>
  <si>
    <t>Average</t>
  </si>
  <si>
    <t>Fuentes, Chientzy Erl Dequina</t>
  </si>
  <si>
    <t>Lafuente, Iannah Renzy May Nishimura</t>
  </si>
  <si>
    <t>Latoreno, Erica Juliana Moral</t>
  </si>
  <si>
    <t>total</t>
  </si>
  <si>
    <t>Limbo, Leiane Jane Tajantajan</t>
  </si>
  <si>
    <t>Mamalis, Honey Mary Sansan</t>
  </si>
  <si>
    <t>PERCENTAGE</t>
  </si>
  <si>
    <t>Mata, Cariza Shana Terante</t>
  </si>
  <si>
    <t>Soledad, Rhean Lee Perez</t>
  </si>
  <si>
    <t>Torres, Angela Denise Ba</t>
  </si>
  <si>
    <t>10-spc</t>
  </si>
  <si>
    <t>Alipio, Khiezel Yurian Dayo</t>
  </si>
  <si>
    <t>Divinagrachia, Li Zion Abayon</t>
  </si>
  <si>
    <t>Rosalita, Cyrus Villanueva</t>
  </si>
  <si>
    <t>Albina, Celeste Monique Fuentes</t>
  </si>
  <si>
    <t>Estomata, Nicole Bota</t>
  </si>
  <si>
    <t>Gaborne, Keisha Faye Occida</t>
  </si>
  <si>
    <t>Gomez, Nulah Justiniane</t>
  </si>
  <si>
    <t>Landas, Princess Heba Usop</t>
  </si>
  <si>
    <t>Locsin, Kazell Mae</t>
  </si>
  <si>
    <t>Macasa, Jian Chloe Te</t>
  </si>
  <si>
    <t>Maningo, Juliara Maureen Aparece</t>
  </si>
  <si>
    <t xml:space="preserve">Tumongha, Samantha </t>
  </si>
  <si>
    <t>Villanueva, Janelle Bongator</t>
  </si>
  <si>
    <t xml:space="preserve">10/13, 10/14, 10/15, 10/16, 10/23, </t>
  </si>
  <si>
    <t>Ho- There is no signficant difference between the academic performance of SR and SPC</t>
  </si>
  <si>
    <t>OLA</t>
  </si>
  <si>
    <t>Ha- There is signficant difference between the academic performance of SR and SPC</t>
  </si>
  <si>
    <t>Jalaman</t>
  </si>
  <si>
    <t>10/16, 10/20, 10/23 11/4, 11/7</t>
  </si>
  <si>
    <t>10/ 13, 10/14, 10/21, 11/2, 11/7</t>
  </si>
  <si>
    <t>p-value &lt; 0.05 = reject the null hypothesis (therefore, there is significant difference)</t>
  </si>
  <si>
    <t>Cajes</t>
  </si>
  <si>
    <t>10/16, 10/15, 10/20, 10/23 11/4, 11/7</t>
  </si>
  <si>
    <t>p-value &gt; 0.05 = accept the null hypothesis (therefore, there is no significant difference)</t>
  </si>
  <si>
    <t>Lusaynon</t>
  </si>
  <si>
    <t>10/13, 10/14, 10/15, 10/16, 10/17, 10/20, 10/21, 11/1, 11/2, 11/3, 11/4, 11,7</t>
  </si>
  <si>
    <t>t-value &lt; t-crit = accept then null hypothesis (therefore, there is no significant difference)</t>
  </si>
  <si>
    <t>Villamor</t>
  </si>
  <si>
    <t>t-value &gt; t-crit = reject then null hypothesis (therefore, there is significant difference)</t>
  </si>
  <si>
    <t>Losbañes</t>
  </si>
  <si>
    <t>10/13, 10/14, 10/15, 11/3, 11/4, 11,7</t>
  </si>
  <si>
    <t>10/16, 10/17, 10/20, 10/21, 11/1, 11/2</t>
  </si>
  <si>
    <t>Enriquez</t>
  </si>
  <si>
    <t>Caluma</t>
  </si>
  <si>
    <t xml:space="preserve"> 10/17, 10/20, 10/21, 11/1, 11/2, 11/3, 11/4, 11,70</t>
  </si>
  <si>
    <t>10/13, 10/14, 10/15, 10/16,</t>
  </si>
  <si>
    <t>ABSENCES</t>
  </si>
  <si>
    <t>Pañamongan</t>
  </si>
  <si>
    <t>t-value compared with the t-crit</t>
  </si>
  <si>
    <t>1.37 &lt; 1.36</t>
  </si>
  <si>
    <t>Rabang</t>
  </si>
  <si>
    <t>p-value compared with the margin of error</t>
  </si>
  <si>
    <t>0.09 &gt; 0.05</t>
  </si>
  <si>
    <t>decision</t>
  </si>
  <si>
    <t xml:space="preserve"> accept the null hypothesis (therefore, there is no significant difference)</t>
  </si>
  <si>
    <t>Interpretation</t>
  </si>
  <si>
    <t>INSIGNIFICANT</t>
  </si>
  <si>
    <t>ABM</t>
  </si>
  <si>
    <t>Cerojales</t>
  </si>
  <si>
    <t>HUMSS</t>
  </si>
  <si>
    <t>Licen</t>
  </si>
  <si>
    <t>10/13, 10/15, 10/16, 10/17, 10/20, 10/21, 11/1,</t>
  </si>
  <si>
    <t>11/2, 11/3, 11/4</t>
  </si>
  <si>
    <t>LATES</t>
  </si>
  <si>
    <t>12/0</t>
  </si>
  <si>
    <t>Masunong</t>
  </si>
  <si>
    <t>0.38 &lt; 1.66</t>
  </si>
  <si>
    <t>Binobo</t>
  </si>
  <si>
    <t>0.36 &gt; 0.05</t>
  </si>
  <si>
    <t>Pamaos</t>
  </si>
  <si>
    <t>10/16, 10/17, 10/20, 10/21, 11/1, 11/20</t>
  </si>
  <si>
    <t>Test of significant difference for absences</t>
  </si>
  <si>
    <t>t - -stat</t>
  </si>
  <si>
    <t>t - crit</t>
  </si>
  <si>
    <t>P - Value</t>
  </si>
  <si>
    <t>Test of significant difference for Tardiness</t>
  </si>
  <si>
    <t>Frequency</t>
  </si>
  <si>
    <t>Perentage</t>
  </si>
  <si>
    <t>ANOVA</t>
  </si>
  <si>
    <t>Source of Variation</t>
  </si>
  <si>
    <t>SS</t>
  </si>
  <si>
    <t>MS</t>
  </si>
  <si>
    <t>F</t>
  </si>
  <si>
    <t>P-value</t>
  </si>
  <si>
    <t>F crit</t>
  </si>
  <si>
    <t>Sample</t>
  </si>
  <si>
    <t>Columns</t>
  </si>
  <si>
    <t>Interaction</t>
  </si>
  <si>
    <t>Within</t>
  </si>
  <si>
    <t>Respondents</t>
  </si>
  <si>
    <t>Q1</t>
  </si>
  <si>
    <t>Q2</t>
  </si>
  <si>
    <t>Q3</t>
  </si>
  <si>
    <t>Q4</t>
  </si>
  <si>
    <t>Q5</t>
  </si>
  <si>
    <t>Q6</t>
  </si>
  <si>
    <t>Q7</t>
  </si>
  <si>
    <t>SD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</si>
  <si>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</si>
  <si>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</si>
  <si>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</si>
  <si>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</si>
  <si>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</si>
  <si>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</si>
  <si>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</si>
  <si>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</si>
  <si>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</si>
  <si>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</si>
  <si>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Largest(1)</t>
  </si>
  <si>
    <t>Smallest(1)</t>
  </si>
  <si>
    <t>Confidence Level(95%)</t>
  </si>
  <si>
    <t>Mean score</t>
  </si>
  <si>
    <t>Explanation</t>
  </si>
  <si>
    <t>4.51 - 5.00</t>
  </si>
  <si>
    <t>Very High</t>
  </si>
  <si>
    <t>The app is extremely effective; users strongly agree that it fulfills its intended functions (accurate, timely, reliable notifications).</t>
  </si>
  <si>
    <t>3.51 - 4.50</t>
  </si>
  <si>
    <t>High</t>
  </si>
  <si>
    <t>The app works well; most users agree on its effectiveness, though some minor improvements may be possible.</t>
  </si>
  <si>
    <t>2.51 - 3.50</t>
  </si>
  <si>
    <t>Moderate</t>
  </si>
  <si>
    <t>The app meets basic expectations but lacks full effectiveness; some users may experience issues or inconsistencies.</t>
  </si>
  <si>
    <t>mean</t>
  </si>
  <si>
    <t>1.51 - 2.50</t>
  </si>
  <si>
    <t>Low</t>
  </si>
  <si>
    <t>The app is ineffective in many cases; several features may be inaccurate, delayed, or hard to use.</t>
  </si>
  <si>
    <t>1.00 - 1.51</t>
  </si>
  <si>
    <t>Very Low</t>
  </si>
  <si>
    <t>The app fails to deliver its functions; notifications are often missing, incorrect, or irrelevant.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</si>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</sst>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"/>
    <numFmt numFmtId="166" formatCode="m-d"/>
  </numFmts>
  <fonts count="2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sz val="11.0"/>
      <color rgb="FFFF00FF"/>
      <name val="Calibri"/>
    </font>
    <font>
      <sz val="11.0"/>
      <color rgb="FF4A86E8"/>
      <name val="Calibri"/>
    </font>
    <font>
      <sz val="11.0"/>
      <color rgb="FF00FF00"/>
      <name val="Calibri"/>
    </font>
    <font>
      <b/>
      <i/>
      <color theme="1"/>
      <name val="Arial"/>
      <scheme val="minor"/>
    </font>
    <font>
      <b/>
      <sz val="12.0"/>
      <color theme="1"/>
      <name val="Arial"/>
      <scheme val="minor"/>
    </font>
    <font>
      <b/>
      <i/>
      <sz val="12.0"/>
      <color theme="1"/>
      <name val="Arial"/>
      <scheme val="minor"/>
    </font>
    <font>
      <color rgb="FF000000"/>
      <name val="Roboto"/>
    </font>
    <font>
      <sz val="11.0"/>
      <color rgb="FF000000"/>
      <name val="Inconsolata"/>
    </font>
    <font>
      <b/>
      <i/>
      <sz val="11.0"/>
      <color theme="1"/>
      <name val="Arial"/>
      <scheme val="minor"/>
    </font>
    <font>
      <b/>
      <sz val="11.0"/>
      <color theme="1"/>
      <name val="Arial"/>
      <scheme val="minor"/>
    </font>
    <font>
      <i/>
      <color theme="1"/>
      <name val="Arial"/>
      <scheme val="minor"/>
    </font>
    <font>
      <sz val="12.0"/>
      <color rgb="FF212529"/>
      <name val="System-ui"/>
    </font>
    <font>
      <sz val="12.0"/>
      <color rgb="FF212529"/>
      <name val="Arial"/>
    </font>
    <font>
      <color theme="1"/>
      <name val="Arial"/>
    </font>
    <font>
      <sz val="11.0"/>
      <color rgb="FF000000"/>
      <name val="Arial"/>
    </font>
    <font>
      <i/>
      <sz val="11.0"/>
      <color rgb="FF000000"/>
      <name val="Calibri"/>
    </font>
    <font>
      <b/>
      <sz val="18.0"/>
      <color rgb="FF000000"/>
      <name val="Calibri"/>
    </font>
    <font/>
    <font>
      <b/>
      <sz val="12.0"/>
      <color theme="1"/>
      <name val="'Times New Roman'"/>
    </font>
    <font>
      <b/>
      <sz val="12.0"/>
      <color rgb="FF000000"/>
      <name val="'Times New Roman'"/>
    </font>
    <font>
      <sz val="12.0"/>
      <color rgb="FF000000"/>
      <name val="'Times New Roman'"/>
    </font>
  </fonts>
  <fills count="2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  <fill>
      <patternFill patternType="solid">
        <fgColor rgb="FF63D297"/>
        <bgColor rgb="FF63D297"/>
      </patternFill>
    </fill>
    <fill>
      <patternFill patternType="solid">
        <fgColor rgb="FF4DD0E1"/>
        <bgColor rgb="FF4DD0E1"/>
      </patternFill>
    </fill>
    <fill>
      <patternFill patternType="solid">
        <fgColor rgb="FF9900FF"/>
        <bgColor rgb="FF9900FF"/>
      </patternFill>
    </fill>
    <fill>
      <patternFill patternType="solid">
        <fgColor rgb="FFE7F9EF"/>
        <bgColor rgb="FFE7F9EF"/>
      </patternFill>
    </fill>
    <fill>
      <patternFill patternType="solid">
        <fgColor rgb="FFE0F7FA"/>
        <bgColor rgb="FFE0F7FA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CFE2F3"/>
        <bgColor rgb="FFCFE2F3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</fills>
  <borders count="14">
    <border/>
    <border>
      <top style="thin">
        <color rgb="FFE1E3E1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3" fontId="6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4" fontId="6" numFmtId="0" xfId="0" applyAlignment="1" applyFill="1" applyFont="1">
      <alignment readingOrder="0" shrinkToFit="0" wrapText="0"/>
    </xf>
    <xf borderId="0" fillId="0" fontId="1" numFmtId="0" xfId="0" applyAlignment="1" applyFont="1">
      <alignment readingOrder="0"/>
    </xf>
    <xf borderId="0" fillId="5" fontId="6" numFmtId="0" xfId="0" applyAlignment="1" applyFill="1" applyFont="1">
      <alignment readingOrder="0" shrinkToFit="0" wrapText="0"/>
    </xf>
    <xf borderId="0" fillId="6" fontId="6" numFmtId="49" xfId="0" applyAlignment="1" applyFill="1" applyFont="1" applyNumberFormat="1">
      <alignment readingOrder="0" shrinkToFit="0" wrapText="0"/>
    </xf>
    <xf borderId="0" fillId="4" fontId="6" numFmtId="49" xfId="0" applyAlignment="1" applyFont="1" applyNumberFormat="1">
      <alignment readingOrder="0" shrinkToFit="0" wrapText="0"/>
    </xf>
    <xf borderId="0" fillId="7" fontId="6" numFmtId="0" xfId="0" applyAlignment="1" applyFill="1" applyFont="1">
      <alignment readingOrder="0" shrinkToFit="0" wrapText="0"/>
    </xf>
    <xf borderId="0" fillId="8" fontId="6" numFmtId="0" xfId="0" applyAlignment="1" applyFill="1" applyFont="1">
      <alignment readingOrder="0" shrinkToFit="0" wrapText="0"/>
    </xf>
    <xf borderId="0" fillId="7" fontId="7" numFmtId="0" xfId="0" applyAlignment="1" applyFont="1">
      <alignment readingOrder="0" shrinkToFit="0" wrapText="0"/>
    </xf>
    <xf borderId="0" fillId="7" fontId="8" numFmtId="0" xfId="0" applyAlignment="1" applyFont="1">
      <alignment readingOrder="0" shrinkToFit="0" wrapText="0"/>
    </xf>
    <xf borderId="0" fillId="7" fontId="9" numFmtId="0" xfId="0" applyAlignment="1" applyFont="1">
      <alignment readingOrder="0" shrinkToFit="0" wrapText="0"/>
    </xf>
    <xf borderId="0" fillId="0" fontId="5" numFmtId="165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" numFmtId="0" xfId="0" applyFont="1"/>
    <xf borderId="0" fillId="0" fontId="5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5" numFmtId="0" xfId="0" applyFont="1"/>
    <xf borderId="0" fillId="0" fontId="5" numFmtId="0" xfId="0" applyAlignment="1" applyFont="1">
      <alignment horizontal="right" readingOrder="0"/>
    </xf>
    <xf borderId="0" fillId="0" fontId="1" numFmtId="9" xfId="0" applyFont="1" applyNumberFormat="1"/>
    <xf borderId="0" fillId="0" fontId="1" numFmtId="9" xfId="0" applyAlignment="1" applyFont="1" applyNumberFormat="1">
      <alignment readingOrder="0"/>
    </xf>
    <xf borderId="0" fillId="0" fontId="12" numFmtId="0" xfId="0" applyAlignment="1" applyFont="1">
      <alignment horizontal="right" readingOrder="0"/>
    </xf>
    <xf borderId="0" fillId="0" fontId="1" numFmtId="9" xfId="0" applyAlignment="1" applyFont="1" applyNumberFormat="1">
      <alignment horizontal="right" readingOrder="0"/>
    </xf>
    <xf borderId="1" fillId="9" fontId="13" numFmtId="9" xfId="0" applyAlignment="1" applyBorder="1" applyFill="1" applyFont="1" applyNumberFormat="1">
      <alignment horizontal="right" readingOrder="0"/>
    </xf>
    <xf borderId="0" fillId="10" fontId="14" numFmtId="9" xfId="0" applyAlignment="1" applyFill="1" applyFont="1" applyNumberFormat="1">
      <alignment horizontal="right" readingOrder="0" shrinkToFit="0" wrapText="1"/>
    </xf>
    <xf borderId="0" fillId="0" fontId="15" numFmtId="0" xfId="0" applyAlignment="1" applyFont="1">
      <alignment horizontal="right" readingOrder="0"/>
    </xf>
    <xf borderId="0" fillId="0" fontId="16" numFmtId="0" xfId="0" applyFont="1"/>
    <xf borderId="0" fillId="0" fontId="16" numFmtId="9" xfId="0" applyFont="1" applyNumberFormat="1"/>
    <xf borderId="0" fillId="11" fontId="1" numFmtId="0" xfId="0" applyFill="1" applyFont="1"/>
    <xf borderId="0" fillId="0" fontId="1" numFmtId="0" xfId="0" applyFont="1"/>
    <xf borderId="0" fillId="12" fontId="1" numFmtId="0" xfId="0" applyFill="1" applyFont="1"/>
    <xf borderId="0" fillId="0" fontId="17" numFmtId="0" xfId="0" applyAlignment="1" applyFont="1">
      <alignment readingOrder="0"/>
    </xf>
    <xf borderId="0" fillId="10" fontId="1" numFmtId="0" xfId="0" applyFont="1"/>
    <xf borderId="0" fillId="13" fontId="1" numFmtId="0" xfId="0" applyFill="1" applyFont="1"/>
    <xf borderId="0" fillId="14" fontId="1" numFmtId="0" xfId="0" applyFill="1" applyFont="1"/>
    <xf borderId="0" fillId="14" fontId="1" numFmtId="0" xfId="0" applyAlignment="1" applyFont="1">
      <alignment readingOrder="0"/>
    </xf>
    <xf borderId="0" fillId="15" fontId="1" numFmtId="0" xfId="0" applyFill="1" applyFont="1"/>
    <xf borderId="0" fillId="10" fontId="1" numFmtId="0" xfId="0" applyAlignment="1" applyFont="1">
      <alignment readingOrder="0"/>
    </xf>
    <xf borderId="0" fillId="0" fontId="17" numFmtId="0" xfId="0" applyAlignment="1" applyFont="1">
      <alignment horizontal="center" readingOrder="0"/>
    </xf>
    <xf borderId="0" fillId="16" fontId="1" numFmtId="0" xfId="0" applyFill="1" applyFont="1"/>
    <xf borderId="2" fillId="0" fontId="17" numFmtId="0" xfId="0" applyAlignment="1" applyBorder="1" applyFont="1">
      <alignment horizontal="center"/>
    </xf>
    <xf borderId="2" fillId="0" fontId="17" numFmtId="0" xfId="0" applyAlignment="1" applyBorder="1" applyFont="1">
      <alignment horizontal="center" readingOrder="0"/>
    </xf>
    <xf borderId="0" fillId="4" fontId="1" numFmtId="0" xfId="0" applyFont="1"/>
    <xf borderId="0" fillId="0" fontId="1" numFmtId="0" xfId="0" applyAlignment="1" applyFont="1">
      <alignment readingOrder="0"/>
    </xf>
    <xf borderId="0" fillId="17" fontId="1" numFmtId="0" xfId="0" applyFill="1" applyFont="1"/>
    <xf borderId="0" fillId="18" fontId="1" numFmtId="0" xfId="0" applyFill="1" applyFont="1"/>
    <xf borderId="0" fillId="8" fontId="1" numFmtId="0" xfId="0" applyAlignment="1" applyFont="1">
      <alignment readingOrder="0"/>
    </xf>
    <xf borderId="0" fillId="19" fontId="1" numFmtId="0" xfId="0" applyFill="1" applyFont="1"/>
    <xf borderId="3" fillId="0" fontId="1" numFmtId="0" xfId="0" applyAlignment="1" applyBorder="1" applyFont="1">
      <alignment readingOrder="0"/>
    </xf>
    <xf borderId="3" fillId="0" fontId="1" numFmtId="0" xfId="0" applyBorder="1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8" fontId="1" numFmtId="0" xfId="0" applyFont="1"/>
    <xf borderId="3" fillId="0" fontId="18" numFmtId="0" xfId="0" applyAlignment="1" applyBorder="1" applyFont="1">
      <alignment horizontal="center" readingOrder="0" vertical="bottom"/>
    </xf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readingOrder="0"/>
    </xf>
    <xf borderId="0" fillId="16" fontId="1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3" fillId="0" fontId="18" numFmtId="0" xfId="0" applyAlignment="1" applyBorder="1" applyFont="1">
      <alignment readingOrder="0" vertical="bottom"/>
    </xf>
    <xf borderId="3" fillId="17" fontId="18" numFmtId="0" xfId="0" applyAlignment="1" applyBorder="1" applyFont="1">
      <alignment readingOrder="0" vertical="bottom"/>
    </xf>
    <xf borderId="3" fillId="18" fontId="19" numFmtId="0" xfId="0" applyAlignment="1" applyBorder="1" applyFont="1">
      <alignment readingOrder="0" vertical="bottom"/>
    </xf>
    <xf borderId="3" fillId="18" fontId="18" numFmtId="0" xfId="0" applyAlignment="1" applyBorder="1" applyFont="1">
      <alignment readingOrder="0" vertical="bottom"/>
    </xf>
    <xf borderId="3" fillId="16" fontId="18" numFmtId="0" xfId="0" applyAlignment="1" applyBorder="1" applyFont="1">
      <alignment readingOrder="0" vertical="bottom"/>
    </xf>
    <xf borderId="0" fillId="0" fontId="17" numFmtId="0" xfId="0" applyAlignment="1" applyFont="1">
      <alignment horizontal="center"/>
    </xf>
    <xf borderId="0" fillId="13" fontId="1" numFmtId="0" xfId="0" applyAlignment="1" applyFont="1">
      <alignment readingOrder="0"/>
    </xf>
    <xf borderId="3" fillId="19" fontId="18" numFmtId="0" xfId="0" applyAlignment="1" applyBorder="1" applyFont="1">
      <alignment readingOrder="0" vertical="bottom"/>
    </xf>
    <xf borderId="0" fillId="20" fontId="1" numFmtId="0" xfId="0" applyAlignment="1" applyFill="1" applyFont="1">
      <alignment readingOrder="0"/>
    </xf>
    <xf borderId="0" fillId="8" fontId="18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20" numFmtId="0" xfId="0" applyAlignment="1" applyFont="1">
      <alignment vertical="bottom"/>
    </xf>
    <xf borderId="0" fillId="10" fontId="1" numFmtId="0" xfId="0" applyFont="1"/>
    <xf borderId="0" fillId="14" fontId="1" numFmtId="0" xfId="0" applyFont="1"/>
    <xf borderId="0" fillId="15" fontId="1" numFmtId="0" xfId="0" applyFont="1"/>
    <xf borderId="0" fillId="15" fontId="1" numFmtId="0" xfId="0" applyAlignment="1" applyFont="1">
      <alignment readingOrder="0"/>
    </xf>
    <xf borderId="0" fillId="14" fontId="20" numFmtId="0" xfId="0" applyAlignment="1" applyFont="1">
      <alignment readingOrder="0" vertical="bottom"/>
    </xf>
    <xf borderId="0" fillId="0" fontId="17" numFmtId="0" xfId="0" applyAlignment="1" applyFont="1">
      <alignment horizontal="right" readingOrder="0"/>
    </xf>
    <xf borderId="0" fillId="21" fontId="1" numFmtId="0" xfId="0" applyAlignment="1" applyFill="1" applyFont="1">
      <alignment horizontal="center" readingOrder="0"/>
    </xf>
    <xf borderId="0" fillId="22" fontId="1" numFmtId="0" xfId="0" applyFill="1" applyFont="1"/>
    <xf borderId="0" fillId="23" fontId="1" numFmtId="0" xfId="0" applyFill="1" applyFont="1"/>
    <xf borderId="3" fillId="0" fontId="17" numFmtId="0" xfId="0" applyAlignment="1" applyBorder="1" applyFont="1">
      <alignment horizontal="right" readingOrder="0"/>
    </xf>
    <xf borderId="0" fillId="0" fontId="1" numFmtId="0" xfId="0" applyFont="1"/>
    <xf borderId="0" fillId="15" fontId="1" numFmtId="9" xfId="0" applyFont="1" applyNumberFormat="1"/>
    <xf borderId="0" fillId="23" fontId="1" numFmtId="9" xfId="0" applyFont="1" applyNumberFormat="1"/>
    <xf borderId="0" fillId="10" fontId="1" numFmtId="9" xfId="0" applyFont="1" applyNumberFormat="1"/>
    <xf borderId="0" fillId="0" fontId="1" numFmtId="9" xfId="0" applyFont="1" applyNumberFormat="1"/>
    <xf borderId="0" fillId="24" fontId="1" numFmtId="0" xfId="0" applyAlignment="1" applyFill="1" applyFont="1">
      <alignment readingOrder="0"/>
    </xf>
    <xf borderId="0" fillId="24" fontId="1" numFmtId="0" xfId="0" applyFont="1"/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21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22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3" fillId="0" fontId="6" numFmtId="0" xfId="0" applyAlignment="1" applyBorder="1" applyFont="1">
      <alignment shrinkToFit="0" vertical="bottom" wrapText="0"/>
    </xf>
    <xf borderId="0" fillId="0" fontId="1" numFmtId="166" xfId="0" applyAlignment="1" applyFont="1" applyNumberForma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23" numFmtId="0" xfId="0" applyAlignment="1" applyFont="1">
      <alignment horizontal="center"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horizontal="center" readingOrder="0" shrinkToFit="0" vertical="bottom" wrapText="0"/>
    </xf>
    <xf borderId="2" fillId="0" fontId="24" numFmtId="0" xfId="0" applyBorder="1" applyFont="1"/>
    <xf borderId="5" fillId="0" fontId="24" numFmtId="0" xfId="0" applyBorder="1" applyFont="1"/>
    <xf borderId="0" fillId="0" fontId="21" numFmtId="0" xfId="0" applyFont="1"/>
    <xf borderId="6" fillId="0" fontId="6" numFmtId="0" xfId="0" applyAlignment="1" applyBorder="1" applyFont="1">
      <alignment horizontal="left" readingOrder="0" shrinkToFit="0" wrapText="0"/>
    </xf>
    <xf borderId="7" fillId="0" fontId="6" numFmtId="0" xfId="0" applyAlignment="1" applyBorder="1" applyFont="1">
      <alignment horizontal="center" readingOrder="0" shrinkToFit="0" vertical="bottom" wrapText="0"/>
    </xf>
    <xf borderId="7" fillId="0" fontId="24" numFmtId="0" xfId="0" applyBorder="1" applyFont="1"/>
    <xf borderId="8" fillId="0" fontId="24" numFmtId="0" xfId="0" applyBorder="1" applyFont="1"/>
    <xf borderId="9" fillId="0" fontId="24" numFmtId="0" xfId="0" applyBorder="1" applyFont="1"/>
    <xf borderId="10" fillId="0" fontId="24" numFmtId="0" xfId="0" applyBorder="1" applyFont="1"/>
    <xf borderId="11" fillId="0" fontId="24" numFmtId="0" xfId="0" applyBorder="1" applyFont="1"/>
    <xf borderId="3" fillId="0" fontId="24" numFmtId="0" xfId="0" applyBorder="1" applyFont="1"/>
    <xf borderId="12" fillId="0" fontId="24" numFmtId="0" xfId="0" applyBorder="1" applyFont="1"/>
    <xf borderId="4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8" fillId="0" fontId="6" numFmtId="0" xfId="0" applyAlignment="1" applyBorder="1" applyFont="1">
      <alignment horizontal="center" readingOrder="0" shrinkToFit="0" vertical="bottom" wrapText="0"/>
    </xf>
    <xf borderId="3" fillId="0" fontId="22" numFmtId="0" xfId="0" applyAlignment="1" applyBorder="1" applyFont="1">
      <alignment horizontal="right" readingOrder="0" shrinkToFit="0" vertical="bottom" wrapText="0"/>
    </xf>
    <xf borderId="13" fillId="0" fontId="1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horizontal="center" readingOrder="0"/>
    </xf>
    <xf borderId="13" fillId="0" fontId="6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readingOrder="0"/>
    </xf>
    <xf borderId="0" fillId="0" fontId="1" numFmtId="9" xfId="0" applyAlignment="1" applyFont="1" applyNumberFormat="1">
      <alignment readingOrder="0"/>
    </xf>
    <xf borderId="0" fillId="25" fontId="1" numFmtId="0" xfId="0" applyAlignment="1" applyFill="1" applyFont="1">
      <alignment readingOrder="0"/>
    </xf>
    <xf borderId="0" fillId="25" fontId="1" numFmtId="0" xfId="0" applyAlignment="1" applyFont="1">
      <alignment horizontal="center"/>
    </xf>
    <xf borderId="0" fillId="26" fontId="5" numFmtId="0" xfId="0" applyAlignment="1" applyFill="1" applyFont="1">
      <alignment readingOrder="0"/>
    </xf>
    <xf borderId="3" fillId="0" fontId="17" numFmtId="9" xfId="0" applyAlignment="1" applyBorder="1" applyFont="1" applyNumberFormat="1">
      <alignment horizontal="right" readingOrder="0"/>
    </xf>
    <xf borderId="3" fillId="0" fontId="1" numFmtId="9" xfId="0" applyBorder="1" applyFont="1" applyNumberFormat="1"/>
    <xf borderId="0" fillId="26" fontId="1" numFmtId="0" xfId="0" applyAlignment="1" applyFont="1">
      <alignment readingOrder="0"/>
    </xf>
    <xf borderId="0" fillId="26" fontId="1" numFmtId="0" xfId="0" applyFont="1"/>
    <xf borderId="0" fillId="26" fontId="1" numFmtId="9" xfId="0" applyFont="1" applyNumberFormat="1"/>
    <xf borderId="3" fillId="0" fontId="17" numFmtId="0" xfId="0" applyAlignment="1" applyBorder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21" fontId="1" numFmtId="0" xfId="0" applyFont="1"/>
    <xf borderId="0" fillId="21" fontId="1" numFmtId="0" xfId="0" applyFont="1"/>
    <xf borderId="0" fillId="2" fontId="1" numFmtId="0" xfId="0" applyFont="1"/>
    <xf borderId="0" fillId="27" fontId="1" numFmtId="0" xfId="0" applyFill="1" applyFont="1"/>
    <xf borderId="0" fillId="27" fontId="1" numFmtId="0" xfId="0" applyFont="1"/>
    <xf borderId="2" fillId="0" fontId="1" numFmtId="0" xfId="0" applyBorder="1" applyFont="1"/>
    <xf borderId="4" fillId="10" fontId="25" numFmtId="0" xfId="0" applyAlignment="1" applyBorder="1" applyFont="1">
      <alignment horizontal="center" readingOrder="0" vertical="top"/>
    </xf>
    <xf borderId="5" fillId="10" fontId="26" numFmtId="0" xfId="0" applyAlignment="1" applyBorder="1" applyFont="1">
      <alignment horizontal="center" readingOrder="0" vertical="top"/>
    </xf>
    <xf borderId="2" fillId="10" fontId="26" numFmtId="0" xfId="0" applyAlignment="1" applyBorder="1" applyFont="1">
      <alignment horizontal="left" readingOrder="0" vertical="top"/>
    </xf>
    <xf borderId="11" fillId="10" fontId="27" numFmtId="0" xfId="0" applyAlignment="1" applyBorder="1" applyFont="1">
      <alignment horizontal="center" readingOrder="0" vertical="top"/>
    </xf>
    <xf borderId="12" fillId="10" fontId="27" numFmtId="0" xfId="0" applyAlignment="1" applyBorder="1" applyFont="1">
      <alignment horizontal="center" readingOrder="0" vertical="top"/>
    </xf>
    <xf borderId="3" fillId="0" fontId="27" numFmtId="0" xfId="0" applyAlignment="1" applyBorder="1" applyFont="1">
      <alignment horizontal="left" readingOrder="0" vertical="top"/>
    </xf>
    <xf borderId="11" fillId="8" fontId="27" numFmtId="0" xfId="0" applyAlignment="1" applyBorder="1" applyFont="1">
      <alignment horizontal="center" readingOrder="0" vertical="top"/>
    </xf>
    <xf borderId="12" fillId="8" fontId="27" numFmtId="0" xfId="0" applyAlignment="1" applyBorder="1" applyFont="1">
      <alignment horizontal="center" readingOrder="0" vertical="top"/>
    </xf>
    <xf borderId="0" fillId="2" fontId="1" numFmtId="0" xfId="0" applyAlignment="1" applyFont="1">
      <alignment readingOrder="0"/>
    </xf>
    <xf borderId="0" fillId="27" fontId="1" numFmtId="0" xfId="0" applyAlignment="1" applyFont="1">
      <alignment readingOrder="0"/>
    </xf>
    <xf borderId="0" fillId="3" fontId="5" numFmtId="0" xfId="0" applyAlignment="1" applyFont="1">
      <alignment horizontal="center" readingOrder="0"/>
    </xf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8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Sheet6-style">
      <tableStyleElement dxfId="7" type="headerRow"/>
      <tableStyleElement dxfId="2" type="firstRowStripe"/>
      <tableStyleElement dxfId="8" type="secondRowStripe"/>
    </tableStyle>
    <tableStyle count="3" pivot="0" name="Sheet6-style 2">
      <tableStyleElement dxfId="9" type="headerRow"/>
      <tableStyleElement dxfId="2" type="firstRowStripe"/>
      <tableStyleElement dxfId="10" type="secondRowStripe"/>
    </tableStyle>
    <tableStyle count="3" pivot="0" name="Sheet6-style 3">
      <tableStyleElement dxfId="7" type="headerRow"/>
      <tableStyleElement dxfId="2" type="firstRowStripe"/>
      <tableStyleElement dxfId="8" type="secondRowStripe"/>
    </tableStyle>
    <tableStyle count="3" pivot="0" name="Sheet6-style 4">
      <tableStyleElement dxfId="11" type="headerRow"/>
      <tableStyleElement dxfId="2" type="firstRowStripe"/>
      <tableStyleElement dxfId="12" type="secondRowStripe"/>
    </tableStyle>
    <tableStyle count="3" pivot="0" name="RQ1 frequency and percentage-style">
      <tableStyleElement dxfId="13" type="headerRow"/>
      <tableStyleElement dxfId="14" type="firstRowStripe"/>
      <tableStyleElement dxfId="15" type="secondRowStripe"/>
    </tableStyle>
    <tableStyle count="3" pivot="0" name="RQ1 frequency and percentage-style 2">
      <tableStyleElement dxfId="16" type="headerRow"/>
      <tableStyleElement dxfId="2" type="firstRowStripe"/>
      <tableStyleElement dxfId="17" type="secondRowStripe"/>
    </tableStyle>
    <tableStyle count="3" pivot="0" name="RQ1 frequency and percentage-style 3">
      <tableStyleElement dxfId="16" type="headerRow"/>
      <tableStyleElement dxfId="2" type="firstRowStripe"/>
      <tableStyleElement dxfId="1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55" displayName="Form_Responses" name="Form_Responses" id="1">
  <tableColumns count="9">
    <tableColumn name="Timestamp" id="1"/>
    <tableColumn name="Parent/Guardian Full Name" id="2"/>
    <tableColumn name="Name Of Student" id="3"/>
    <tableColumn name="Relationship Of Student" id="4"/>
    <tableColumn name="Do you agree that your child’s name can be used in this research and related publications?" id="5"/>
    <tableColumn name="I have read and understood the information provided above. I voluntarily give permission for my child to participate in the study entitled:_x000a_   “The Effectiveness of EAALIA Mobile Application in Improving Students' Attendance in School for A.Y. 2025–2026.”" id="6"/>
    <tableColumn name="Parent/Guardian Name (Upload A Picture Of Your Signature Below)" id="7"/>
    <tableColumn name="Date Signed (Date)" id="8"/>
    <tableColumn name="Grade And Section" id="9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A2:Y117" displayName="Table_1" name="Table_1" id="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heet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20:Y126" displayName="Table_2" name="Table_2" id="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heet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28:W132" displayName="Table_3" name="Table_3" id="4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Sheet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36:C141" displayName="Table_4" name="Table_4" id="5">
  <tableColumns count="3">
    <tableColumn name="Column1" id="1"/>
    <tableColumn name="Column2" id="2"/>
    <tableColumn name="Column3" id="3"/>
  </tableColumns>
  <tableStyleInfo name="Sheet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K83" displayName="Table_5" name="Table_5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RQ1 frequency and percentag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88:H93" displayName="Table_6" name="Table_6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Q1 frequency and percentag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98:H104" displayName="Table_7" name="Table_7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Q1 frequency and percentag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P82nR_lqZQ8EGSl0nelOFKhkgjjNmy3f" TargetMode="External"/><Relationship Id="rId22" Type="http://schemas.openxmlformats.org/officeDocument/2006/relationships/hyperlink" Target="https://drive.google.com/open?id=1C_oLW1cOe4yOXWfspNTIHOoNx1jVQm4B" TargetMode="External"/><Relationship Id="rId21" Type="http://schemas.openxmlformats.org/officeDocument/2006/relationships/hyperlink" Target="https://drive.google.com/open?id=1sliPU_AgCq2ryWiVyRG8K57xCQWG8RmN" TargetMode="External"/><Relationship Id="rId24" Type="http://schemas.openxmlformats.org/officeDocument/2006/relationships/hyperlink" Target="https://drive.google.com/open?id=1pmzKLN6Kb_sZ_ej7hI_IvxH4nI_88wCQ" TargetMode="External"/><Relationship Id="rId23" Type="http://schemas.openxmlformats.org/officeDocument/2006/relationships/hyperlink" Target="https://drive.google.com/open?id=1bWAqwXuutfqi4NNFr4VpuGB5gQV8BHb7" TargetMode="External"/><Relationship Id="rId1" Type="http://schemas.openxmlformats.org/officeDocument/2006/relationships/hyperlink" Target="https://drive.google.com/open?id=16RrCvJ1r9j8HnfcCWflL2StY7m2WS574" TargetMode="External"/><Relationship Id="rId2" Type="http://schemas.openxmlformats.org/officeDocument/2006/relationships/hyperlink" Target="https://drive.google.com/open?id=1mqM-bKSxekf5LiMslJqmZnkQnS0LvuHA" TargetMode="External"/><Relationship Id="rId3" Type="http://schemas.openxmlformats.org/officeDocument/2006/relationships/hyperlink" Target="https://drive.google.com/open?id=1ZooNpKoDF5iVhQaDeV_3VCawtdysW6Xv" TargetMode="External"/><Relationship Id="rId4" Type="http://schemas.openxmlformats.org/officeDocument/2006/relationships/hyperlink" Target="https://drive.google.com/open?id=193L4-3uzJwgdWroWNLVvCWESWwwZJ-Yb" TargetMode="External"/><Relationship Id="rId9" Type="http://schemas.openxmlformats.org/officeDocument/2006/relationships/hyperlink" Target="https://drive.google.com/open?id=1O7yz8vAz5s5vV2_cXPBYLsUBxE2xanrB" TargetMode="External"/><Relationship Id="rId26" Type="http://schemas.openxmlformats.org/officeDocument/2006/relationships/hyperlink" Target="https://drive.google.com/open?id=1UvOWvohrYLtVnVJ_lvupCIIlYFAXe_Zi" TargetMode="External"/><Relationship Id="rId25" Type="http://schemas.openxmlformats.org/officeDocument/2006/relationships/hyperlink" Target="https://drive.google.com/open?id=1BpbUDlkBioi-yeGyAdLBtF5cTlh9ibpK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rive.google.com/open?id=1ZIFxiuW36nqHdCmM06eX20-l61QF6ZVq" TargetMode="External"/><Relationship Id="rId5" Type="http://schemas.openxmlformats.org/officeDocument/2006/relationships/hyperlink" Target="https://drive.google.com/open?id=1pb9H3p0CtNOeqLWAhUUnOSRN3xcRYIaD" TargetMode="External"/><Relationship Id="rId6" Type="http://schemas.openxmlformats.org/officeDocument/2006/relationships/hyperlink" Target="https://drive.google.com/open?id=1BeehoqBIBM14PACOsyP7zelqJzjz6V3i" TargetMode="External"/><Relationship Id="rId7" Type="http://schemas.openxmlformats.org/officeDocument/2006/relationships/hyperlink" Target="https://drive.google.com/open?id=1BX3_uYqBVQRsbdFkrJ-8BU85zXUkSIiO" TargetMode="External"/><Relationship Id="rId8" Type="http://schemas.openxmlformats.org/officeDocument/2006/relationships/hyperlink" Target="https://drive.google.com/open?id=17LkgnCAiIxI3lsFiabm1DiRaXXV_wS7B" TargetMode="External"/><Relationship Id="rId30" Type="http://schemas.openxmlformats.org/officeDocument/2006/relationships/table" Target="../tables/table1.xml"/><Relationship Id="rId11" Type="http://schemas.openxmlformats.org/officeDocument/2006/relationships/hyperlink" Target="https://drive.google.com/open?id=1l2g-Gw-5qhfnUgbH_jj2Go09F2MnrKnI" TargetMode="External"/><Relationship Id="rId10" Type="http://schemas.openxmlformats.org/officeDocument/2006/relationships/hyperlink" Target="https://drive.google.com/open?id=1TfuTBjiFZnZQnzkFDMadiOk6nkPR8Ykt" TargetMode="External"/><Relationship Id="rId13" Type="http://schemas.openxmlformats.org/officeDocument/2006/relationships/hyperlink" Target="https://drive.google.com/open?id=1uKC8iEeRvIYh-beuE2S9C6HXWKtutVCb" TargetMode="External"/><Relationship Id="rId12" Type="http://schemas.openxmlformats.org/officeDocument/2006/relationships/hyperlink" Target="https://drive.google.com/open?id=1Fcu2mQdRDFEAJcBENsrxJWI4YM0FIs8K" TargetMode="External"/><Relationship Id="rId15" Type="http://schemas.openxmlformats.org/officeDocument/2006/relationships/hyperlink" Target="https://drive.google.com/open?id=1x1pqXsrLi83ccHdKl8LfCKXuBuKBjkcr" TargetMode="External"/><Relationship Id="rId14" Type="http://schemas.openxmlformats.org/officeDocument/2006/relationships/hyperlink" Target="https://drive.google.com/open?id=1l8YtCUDjb83qFn33sTsJXON9zQIVuxh6" TargetMode="External"/><Relationship Id="rId17" Type="http://schemas.openxmlformats.org/officeDocument/2006/relationships/hyperlink" Target="https://drive.google.com/open?id=1THvBfoAWnygfJKyU21isZhx9DJRj0rF-" TargetMode="External"/><Relationship Id="rId16" Type="http://schemas.openxmlformats.org/officeDocument/2006/relationships/hyperlink" Target="https://drive.google.com/open?id=1K2FWLXh5tdJriHdG1iFNe-D5iTW17xjm" TargetMode="External"/><Relationship Id="rId19" Type="http://schemas.openxmlformats.org/officeDocument/2006/relationships/hyperlink" Target="https://drive.google.com/open?id=1tZir4hlToABtikQRGpy2KgKrnoT1kOFg" TargetMode="External"/><Relationship Id="rId18" Type="http://schemas.openxmlformats.org/officeDocument/2006/relationships/hyperlink" Target="https://drive.google.com/open?id=13YTmmwiTWsJ1l1ts5AjoHlFS61OmR2d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0"/>
    <col customWidth="1" min="3" max="3" width="28.13"/>
    <col customWidth="1" min="4" max="4" width="22.5"/>
    <col customWidth="1" min="5" max="7" width="37.63"/>
    <col customWidth="1" min="8" max="8" width="19.0"/>
    <col customWidth="1" min="9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22.5" customHeight="1">
      <c r="A2" s="3">
        <v>45946.62725489584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4" t="s">
        <v>15</v>
      </c>
      <c r="I2" s="6"/>
    </row>
    <row r="3" ht="22.5" customHeight="1">
      <c r="A3" s="3">
        <v>45946.634440567126</v>
      </c>
      <c r="B3" s="4" t="s">
        <v>16</v>
      </c>
      <c r="C3" s="4" t="s">
        <v>17</v>
      </c>
      <c r="D3" s="4" t="s">
        <v>11</v>
      </c>
      <c r="E3" s="4" t="s">
        <v>12</v>
      </c>
      <c r="F3" s="4" t="s">
        <v>13</v>
      </c>
      <c r="G3" s="5" t="s">
        <v>18</v>
      </c>
      <c r="H3" s="7" t="s">
        <v>19</v>
      </c>
      <c r="I3" s="6"/>
    </row>
    <row r="4" ht="22.5" customHeight="1">
      <c r="A4" s="3">
        <v>45946.640278217594</v>
      </c>
      <c r="B4" s="4" t="s">
        <v>20</v>
      </c>
      <c r="C4" s="4" t="s">
        <v>21</v>
      </c>
      <c r="D4" s="4" t="s">
        <v>22</v>
      </c>
      <c r="E4" s="4" t="s">
        <v>12</v>
      </c>
      <c r="F4" s="4" t="s">
        <v>13</v>
      </c>
      <c r="G4" s="8"/>
      <c r="H4" s="7" t="s">
        <v>23</v>
      </c>
      <c r="I4" s="6"/>
    </row>
    <row r="5" ht="22.5" customHeight="1">
      <c r="A5" s="3">
        <v>45946.641042372685</v>
      </c>
      <c r="B5" s="4" t="s">
        <v>24</v>
      </c>
      <c r="C5" s="4" t="s">
        <v>25</v>
      </c>
      <c r="D5" s="4" t="s">
        <v>22</v>
      </c>
      <c r="E5" s="4" t="s">
        <v>12</v>
      </c>
      <c r="F5" s="4" t="s">
        <v>13</v>
      </c>
      <c r="G5" s="8"/>
      <c r="H5" s="7" t="s">
        <v>19</v>
      </c>
      <c r="I5" s="6"/>
    </row>
    <row r="6" ht="22.5" customHeight="1">
      <c r="A6" s="3">
        <v>45946.67442752315</v>
      </c>
      <c r="B6" s="4" t="s">
        <v>26</v>
      </c>
      <c r="C6" s="4" t="s">
        <v>27</v>
      </c>
      <c r="D6" s="4" t="s">
        <v>28</v>
      </c>
      <c r="E6" s="4" t="s">
        <v>29</v>
      </c>
      <c r="F6" s="8"/>
      <c r="G6" s="8"/>
      <c r="H6" s="7" t="s">
        <v>30</v>
      </c>
      <c r="I6" s="6"/>
    </row>
    <row r="7" ht="22.5" customHeight="1">
      <c r="A7" s="3">
        <v>45946.82151959491</v>
      </c>
      <c r="B7" s="4" t="s">
        <v>31</v>
      </c>
      <c r="C7" s="4" t="s">
        <v>32</v>
      </c>
      <c r="D7" s="4" t="s">
        <v>33</v>
      </c>
      <c r="E7" s="4" t="s">
        <v>29</v>
      </c>
      <c r="F7" s="8"/>
      <c r="G7" s="8"/>
      <c r="H7" s="8"/>
      <c r="I7" s="8"/>
    </row>
    <row r="8" ht="22.5" customHeight="1">
      <c r="A8" s="3">
        <v>45946.830640636574</v>
      </c>
      <c r="B8" s="4" t="s">
        <v>34</v>
      </c>
      <c r="C8" s="4" t="s">
        <v>35</v>
      </c>
      <c r="D8" s="4" t="s">
        <v>22</v>
      </c>
      <c r="E8" s="4" t="s">
        <v>12</v>
      </c>
      <c r="F8" s="4" t="s">
        <v>13</v>
      </c>
      <c r="G8" s="8"/>
      <c r="H8" s="4" t="s">
        <v>36</v>
      </c>
      <c r="I8" s="6"/>
    </row>
    <row r="9" ht="22.5" customHeight="1">
      <c r="A9" s="3">
        <v>45946.831817569444</v>
      </c>
      <c r="B9" s="4" t="s">
        <v>37</v>
      </c>
      <c r="C9" s="4" t="s">
        <v>38</v>
      </c>
      <c r="D9" s="4" t="s">
        <v>11</v>
      </c>
      <c r="E9" s="4" t="s">
        <v>12</v>
      </c>
      <c r="F9" s="4" t="s">
        <v>13</v>
      </c>
      <c r="G9" s="8"/>
      <c r="H9" s="7" t="s">
        <v>39</v>
      </c>
      <c r="I9" s="6"/>
    </row>
    <row r="10" ht="22.5" customHeight="1">
      <c r="A10" s="3">
        <v>45946.83303488426</v>
      </c>
      <c r="B10" s="4" t="s">
        <v>40</v>
      </c>
      <c r="C10" s="9" t="s">
        <v>41</v>
      </c>
      <c r="D10" s="4" t="s">
        <v>11</v>
      </c>
      <c r="E10" s="4" t="s">
        <v>12</v>
      </c>
      <c r="F10" s="4" t="s">
        <v>13</v>
      </c>
      <c r="G10" s="5" t="s">
        <v>42</v>
      </c>
      <c r="H10" s="4" t="s">
        <v>43</v>
      </c>
      <c r="I10" s="6"/>
    </row>
    <row r="11" ht="22.5" customHeight="1">
      <c r="A11" s="3">
        <v>45946.834756550925</v>
      </c>
      <c r="B11" s="4" t="s">
        <v>44</v>
      </c>
      <c r="C11" s="4" t="s">
        <v>45</v>
      </c>
      <c r="D11" s="4" t="s">
        <v>11</v>
      </c>
      <c r="E11" s="4" t="s">
        <v>12</v>
      </c>
      <c r="F11" s="4" t="s">
        <v>13</v>
      </c>
      <c r="G11" s="8"/>
      <c r="H11" s="7" t="s">
        <v>46</v>
      </c>
      <c r="I11" s="6"/>
    </row>
    <row r="12" ht="22.5" customHeight="1">
      <c r="A12" s="3">
        <v>45946.84329251158</v>
      </c>
      <c r="B12" s="8"/>
      <c r="C12" s="8"/>
      <c r="D12" s="8"/>
      <c r="E12" s="4" t="s">
        <v>12</v>
      </c>
      <c r="F12" s="4" t="s">
        <v>13</v>
      </c>
      <c r="G12" s="8"/>
      <c r="H12" s="7" t="s">
        <v>47</v>
      </c>
      <c r="I12" s="6"/>
    </row>
    <row r="13" ht="22.5" customHeight="1">
      <c r="A13" s="3">
        <v>45947.36885709491</v>
      </c>
      <c r="B13" s="4" t="s">
        <v>48</v>
      </c>
      <c r="C13" s="10" t="s">
        <v>49</v>
      </c>
      <c r="D13" s="4" t="s">
        <v>28</v>
      </c>
      <c r="E13" s="4" t="s">
        <v>12</v>
      </c>
      <c r="F13" s="4" t="s">
        <v>13</v>
      </c>
      <c r="G13" s="5" t="s">
        <v>50</v>
      </c>
      <c r="H13" s="7" t="s">
        <v>51</v>
      </c>
      <c r="I13" s="6"/>
    </row>
    <row r="14" ht="22.5" customHeight="1">
      <c r="A14" s="3">
        <v>45947.398439537035</v>
      </c>
      <c r="B14" s="4" t="s">
        <v>52</v>
      </c>
      <c r="C14" s="4" t="s">
        <v>53</v>
      </c>
      <c r="D14" s="4" t="s">
        <v>22</v>
      </c>
      <c r="E14" s="4" t="s">
        <v>12</v>
      </c>
      <c r="F14" s="4" t="s">
        <v>13</v>
      </c>
      <c r="G14" s="8"/>
      <c r="H14" s="8"/>
      <c r="I14" s="8"/>
    </row>
    <row r="15" ht="22.5" customHeight="1">
      <c r="A15" s="11">
        <v>45949.89435153935</v>
      </c>
      <c r="B15" s="12" t="s">
        <v>54</v>
      </c>
      <c r="C15" s="12" t="s">
        <v>55</v>
      </c>
      <c r="D15" s="12" t="s">
        <v>22</v>
      </c>
      <c r="E15" s="12" t="s">
        <v>12</v>
      </c>
      <c r="F15" s="12" t="s">
        <v>13</v>
      </c>
      <c r="G15" s="13" t="s">
        <v>56</v>
      </c>
      <c r="H15" s="14" t="s">
        <v>57</v>
      </c>
      <c r="I15" s="15"/>
    </row>
    <row r="16" ht="22.5" customHeight="1">
      <c r="A16" s="11">
        <v>45950.673264745375</v>
      </c>
      <c r="B16" s="12" t="s">
        <v>58</v>
      </c>
      <c r="C16" s="12" t="s">
        <v>59</v>
      </c>
      <c r="D16" s="12" t="s">
        <v>28</v>
      </c>
      <c r="E16" s="12" t="s">
        <v>12</v>
      </c>
      <c r="F16" s="12" t="s">
        <v>13</v>
      </c>
      <c r="H16" s="14" t="s">
        <v>51</v>
      </c>
      <c r="I16" s="15"/>
    </row>
    <row r="17" ht="22.5" customHeight="1">
      <c r="A17" s="11">
        <v>45956.485845648145</v>
      </c>
      <c r="B17" s="12" t="s">
        <v>60</v>
      </c>
      <c r="C17" s="10" t="s">
        <v>61</v>
      </c>
      <c r="D17" s="12" t="s">
        <v>11</v>
      </c>
      <c r="E17" s="12" t="s">
        <v>12</v>
      </c>
      <c r="F17" s="12" t="s">
        <v>13</v>
      </c>
    </row>
    <row r="18" ht="22.5" customHeight="1">
      <c r="A18" s="11">
        <v>45956.577303136575</v>
      </c>
      <c r="B18" s="12" t="s">
        <v>62</v>
      </c>
      <c r="C18" s="12" t="s">
        <v>63</v>
      </c>
      <c r="D18" s="12" t="s">
        <v>11</v>
      </c>
      <c r="E18" s="12" t="s">
        <v>12</v>
      </c>
      <c r="F18" s="12" t="s">
        <v>13</v>
      </c>
    </row>
    <row r="19" ht="22.5" customHeight="1">
      <c r="A19" s="11">
        <v>45956.632719270834</v>
      </c>
      <c r="B19" s="12" t="s">
        <v>64</v>
      </c>
      <c r="C19" s="12" t="s">
        <v>65</v>
      </c>
      <c r="D19" s="12" t="s">
        <v>11</v>
      </c>
      <c r="E19" s="12" t="s">
        <v>12</v>
      </c>
      <c r="F19" s="12" t="s">
        <v>13</v>
      </c>
      <c r="H19" s="14" t="s">
        <v>66</v>
      </c>
      <c r="I19" s="15"/>
    </row>
    <row r="20" ht="22.5" customHeight="1">
      <c r="A20" s="11">
        <v>45956.64892599537</v>
      </c>
      <c r="B20" s="12" t="s">
        <v>67</v>
      </c>
      <c r="C20" s="12" t="s">
        <v>68</v>
      </c>
      <c r="D20" s="12" t="s">
        <v>11</v>
      </c>
      <c r="E20" s="12" t="s">
        <v>29</v>
      </c>
    </row>
    <row r="21" ht="22.5" customHeight="1">
      <c r="A21" s="11">
        <v>45964.73458246527</v>
      </c>
      <c r="B21" s="12" t="s">
        <v>69</v>
      </c>
      <c r="C21" s="12" t="s">
        <v>70</v>
      </c>
      <c r="D21" s="12" t="s">
        <v>11</v>
      </c>
      <c r="E21" s="12" t="s">
        <v>12</v>
      </c>
      <c r="F21" s="12" t="s">
        <v>13</v>
      </c>
      <c r="G21" s="13" t="s">
        <v>71</v>
      </c>
      <c r="H21" s="14" t="s">
        <v>72</v>
      </c>
      <c r="I21" s="12" t="s">
        <v>73</v>
      </c>
    </row>
    <row r="22" ht="22.5" customHeight="1">
      <c r="A22" s="11">
        <v>45970.70762540509</v>
      </c>
      <c r="B22" s="12" t="s">
        <v>74</v>
      </c>
      <c r="C22" s="12" t="s">
        <v>75</v>
      </c>
      <c r="D22" s="12" t="s">
        <v>11</v>
      </c>
      <c r="E22" s="12" t="s">
        <v>12</v>
      </c>
      <c r="F22" s="12" t="s">
        <v>13</v>
      </c>
      <c r="G22" s="13" t="s">
        <v>76</v>
      </c>
      <c r="I22" s="12" t="s">
        <v>77</v>
      </c>
    </row>
    <row r="23" ht="22.5" customHeight="1">
      <c r="A23" s="11">
        <v>45970.71476878472</v>
      </c>
      <c r="B23" s="12" t="s">
        <v>78</v>
      </c>
      <c r="C23" s="12" t="s">
        <v>79</v>
      </c>
      <c r="D23" s="12" t="s">
        <v>11</v>
      </c>
      <c r="E23" s="12" t="s">
        <v>12</v>
      </c>
      <c r="F23" s="12" t="s">
        <v>13</v>
      </c>
      <c r="G23" s="13" t="s">
        <v>80</v>
      </c>
      <c r="I23" s="12" t="s">
        <v>81</v>
      </c>
    </row>
    <row r="24" ht="22.5" customHeight="1">
      <c r="A24" s="11">
        <v>45970.72631377315</v>
      </c>
      <c r="B24" s="12" t="s">
        <v>82</v>
      </c>
      <c r="C24" s="12" t="s">
        <v>83</v>
      </c>
      <c r="D24" s="12" t="s">
        <v>28</v>
      </c>
      <c r="E24" s="12" t="s">
        <v>12</v>
      </c>
      <c r="F24" s="12" t="s">
        <v>13</v>
      </c>
      <c r="G24" s="13" t="s">
        <v>84</v>
      </c>
      <c r="I24" s="12" t="s">
        <v>85</v>
      </c>
    </row>
    <row r="25" ht="22.5" customHeight="1">
      <c r="A25" s="11">
        <v>45970.72975994213</v>
      </c>
      <c r="B25" s="12" t="s">
        <v>86</v>
      </c>
      <c r="C25" s="12" t="s">
        <v>87</v>
      </c>
      <c r="D25" s="12" t="s">
        <v>11</v>
      </c>
      <c r="E25" s="12" t="s">
        <v>12</v>
      </c>
      <c r="F25" s="12" t="s">
        <v>13</v>
      </c>
      <c r="G25" s="13" t="s">
        <v>88</v>
      </c>
      <c r="I25" s="12" t="s">
        <v>89</v>
      </c>
    </row>
    <row r="26" ht="22.5" customHeight="1">
      <c r="A26" s="11">
        <v>45970.73471506944</v>
      </c>
      <c r="B26" s="12" t="s">
        <v>90</v>
      </c>
      <c r="C26" s="12" t="s">
        <v>91</v>
      </c>
      <c r="D26" s="12" t="s">
        <v>11</v>
      </c>
      <c r="E26" s="12" t="s">
        <v>12</v>
      </c>
      <c r="F26" s="12" t="s">
        <v>13</v>
      </c>
      <c r="G26" s="13" t="s">
        <v>92</v>
      </c>
      <c r="I26" s="12" t="s">
        <v>93</v>
      </c>
    </row>
    <row r="27" ht="22.5" customHeight="1">
      <c r="A27" s="11">
        <v>45970.83563715278</v>
      </c>
      <c r="B27" s="12" t="s">
        <v>94</v>
      </c>
      <c r="C27" s="12" t="s">
        <v>95</v>
      </c>
      <c r="D27" s="12" t="s">
        <v>11</v>
      </c>
      <c r="E27" s="12" t="s">
        <v>12</v>
      </c>
      <c r="F27" s="12" t="s">
        <v>13</v>
      </c>
      <c r="I27" s="12" t="s">
        <v>93</v>
      </c>
    </row>
    <row r="28" ht="22.5" customHeight="1">
      <c r="A28" s="11">
        <v>45970.85632604167</v>
      </c>
      <c r="B28" s="12" t="s">
        <v>96</v>
      </c>
      <c r="C28" s="12" t="s">
        <v>97</v>
      </c>
      <c r="D28" s="12" t="s">
        <v>28</v>
      </c>
      <c r="E28" s="12" t="s">
        <v>12</v>
      </c>
      <c r="F28" s="12" t="s">
        <v>13</v>
      </c>
      <c r="H28" s="14" t="s">
        <v>98</v>
      </c>
      <c r="I28" s="12" t="s">
        <v>99</v>
      </c>
    </row>
    <row r="29" ht="22.5" customHeight="1">
      <c r="A29" s="11">
        <v>45970.858510474536</v>
      </c>
      <c r="B29" s="12" t="s">
        <v>100</v>
      </c>
      <c r="C29" s="12" t="s">
        <v>101</v>
      </c>
      <c r="D29" s="12" t="s">
        <v>28</v>
      </c>
      <c r="E29" s="12" t="s">
        <v>29</v>
      </c>
      <c r="I29" s="12" t="s">
        <v>102</v>
      </c>
    </row>
    <row r="30" ht="22.5" customHeight="1">
      <c r="A30" s="11">
        <v>45970.86016452547</v>
      </c>
      <c r="B30" s="12" t="s">
        <v>103</v>
      </c>
      <c r="C30" s="12" t="s">
        <v>104</v>
      </c>
      <c r="D30" s="12" t="s">
        <v>11</v>
      </c>
      <c r="E30" s="12" t="s">
        <v>29</v>
      </c>
      <c r="I30" s="12" t="s">
        <v>105</v>
      </c>
    </row>
    <row r="31" ht="22.5" customHeight="1">
      <c r="A31" s="11">
        <v>45970.86233423611</v>
      </c>
      <c r="B31" s="12" t="s">
        <v>106</v>
      </c>
      <c r="C31" s="12" t="s">
        <v>107</v>
      </c>
      <c r="D31" s="12" t="s">
        <v>22</v>
      </c>
      <c r="E31" s="12" t="s">
        <v>29</v>
      </c>
      <c r="I31" s="12" t="s">
        <v>108</v>
      </c>
    </row>
    <row r="32" ht="22.5" customHeight="1">
      <c r="A32" s="11">
        <v>45970.86461900463</v>
      </c>
      <c r="B32" s="12" t="s">
        <v>109</v>
      </c>
      <c r="C32" s="12" t="s">
        <v>110</v>
      </c>
      <c r="D32" s="12" t="s">
        <v>33</v>
      </c>
      <c r="E32" s="12" t="s">
        <v>29</v>
      </c>
      <c r="I32" s="12" t="s">
        <v>111</v>
      </c>
    </row>
    <row r="33" ht="22.5" customHeight="1">
      <c r="A33" s="11">
        <v>45970.868427719906</v>
      </c>
      <c r="B33" s="12" t="s">
        <v>112</v>
      </c>
      <c r="C33" s="12" t="s">
        <v>113</v>
      </c>
      <c r="D33" s="12" t="s">
        <v>11</v>
      </c>
      <c r="E33" s="12" t="s">
        <v>29</v>
      </c>
      <c r="I33" s="12" t="s">
        <v>114</v>
      </c>
    </row>
    <row r="34" ht="22.5" customHeight="1">
      <c r="A34" s="11">
        <v>45970.8702074537</v>
      </c>
      <c r="B34" s="12" t="s">
        <v>115</v>
      </c>
      <c r="C34" s="12" t="s">
        <v>116</v>
      </c>
      <c r="D34" s="12" t="s">
        <v>28</v>
      </c>
      <c r="E34" s="12" t="s">
        <v>29</v>
      </c>
      <c r="I34" s="12" t="s">
        <v>93</v>
      </c>
    </row>
    <row r="35" ht="22.5" customHeight="1">
      <c r="A35" s="11">
        <v>45972.00225762732</v>
      </c>
      <c r="B35" s="12" t="s">
        <v>117</v>
      </c>
      <c r="C35" s="12" t="s">
        <v>118</v>
      </c>
      <c r="D35" s="12" t="s">
        <v>119</v>
      </c>
      <c r="E35" s="12" t="s">
        <v>12</v>
      </c>
      <c r="F35" s="12" t="s">
        <v>13</v>
      </c>
      <c r="I35" s="12" t="s">
        <v>120</v>
      </c>
    </row>
    <row r="36" ht="22.5" customHeight="1">
      <c r="A36" s="11">
        <v>45972.004020810185</v>
      </c>
      <c r="B36" s="12" t="s">
        <v>121</v>
      </c>
      <c r="C36" s="12" t="s">
        <v>122</v>
      </c>
      <c r="D36" s="12" t="s">
        <v>11</v>
      </c>
      <c r="E36" s="12" t="s">
        <v>12</v>
      </c>
      <c r="F36" s="12" t="s">
        <v>13</v>
      </c>
      <c r="I36" s="12" t="s">
        <v>123</v>
      </c>
    </row>
    <row r="37" ht="22.5" customHeight="1">
      <c r="A37" s="11">
        <v>45972.006697488425</v>
      </c>
      <c r="B37" s="12" t="s">
        <v>124</v>
      </c>
      <c r="C37" s="12" t="s">
        <v>125</v>
      </c>
      <c r="D37" s="12" t="s">
        <v>11</v>
      </c>
      <c r="E37" s="12" t="s">
        <v>12</v>
      </c>
      <c r="F37" s="12" t="s">
        <v>13</v>
      </c>
      <c r="I37" s="12" t="s">
        <v>99</v>
      </c>
    </row>
    <row r="38" ht="22.5" customHeight="1">
      <c r="A38" s="11">
        <v>45972.01043342592</v>
      </c>
      <c r="B38" s="12" t="s">
        <v>126</v>
      </c>
      <c r="C38" s="12" t="s">
        <v>127</v>
      </c>
      <c r="D38" s="12" t="s">
        <v>28</v>
      </c>
      <c r="E38" s="12" t="s">
        <v>12</v>
      </c>
      <c r="F38" s="12" t="s">
        <v>13</v>
      </c>
      <c r="I38" s="12" t="s">
        <v>123</v>
      </c>
    </row>
    <row r="39" ht="22.5" customHeight="1">
      <c r="A39" s="11">
        <v>45972.011833344906</v>
      </c>
      <c r="B39" s="12" t="s">
        <v>128</v>
      </c>
      <c r="C39" s="12" t="s">
        <v>129</v>
      </c>
      <c r="D39" s="12" t="s">
        <v>28</v>
      </c>
      <c r="E39" s="12" t="s">
        <v>12</v>
      </c>
      <c r="F39" s="12" t="s">
        <v>13</v>
      </c>
      <c r="I39" s="12" t="s">
        <v>123</v>
      </c>
    </row>
    <row r="40" ht="22.5" customHeight="1">
      <c r="A40" s="11">
        <v>45972.74091988426</v>
      </c>
      <c r="B40" s="12" t="s">
        <v>130</v>
      </c>
      <c r="C40" s="12" t="s">
        <v>131</v>
      </c>
      <c r="D40" s="12" t="s">
        <v>11</v>
      </c>
      <c r="E40" s="12" t="s">
        <v>12</v>
      </c>
      <c r="F40" s="12" t="s">
        <v>13</v>
      </c>
      <c r="G40" s="13" t="s">
        <v>132</v>
      </c>
      <c r="I40" s="12" t="s">
        <v>81</v>
      </c>
    </row>
    <row r="41" ht="22.5" customHeight="1">
      <c r="A41" s="11">
        <v>45972.74428829861</v>
      </c>
      <c r="B41" s="12" t="s">
        <v>133</v>
      </c>
      <c r="C41" s="12" t="s">
        <v>134</v>
      </c>
      <c r="D41" s="12" t="s">
        <v>11</v>
      </c>
      <c r="E41" s="12" t="s">
        <v>12</v>
      </c>
      <c r="F41" s="12" t="s">
        <v>13</v>
      </c>
      <c r="G41" s="13" t="s">
        <v>135</v>
      </c>
      <c r="I41" s="12" t="s">
        <v>77</v>
      </c>
    </row>
    <row r="42" ht="22.5" customHeight="1">
      <c r="A42" s="11">
        <v>45972.745757743054</v>
      </c>
      <c r="B42" s="12" t="s">
        <v>136</v>
      </c>
      <c r="C42" s="12" t="s">
        <v>137</v>
      </c>
      <c r="D42" s="12" t="s">
        <v>11</v>
      </c>
      <c r="E42" s="12" t="s">
        <v>12</v>
      </c>
      <c r="F42" s="12" t="s">
        <v>13</v>
      </c>
      <c r="G42" s="13" t="s">
        <v>138</v>
      </c>
      <c r="I42" s="12" t="s">
        <v>77</v>
      </c>
    </row>
    <row r="43" ht="22.5" customHeight="1">
      <c r="A43" s="11">
        <v>45972.74794119213</v>
      </c>
      <c r="B43" s="12" t="s">
        <v>139</v>
      </c>
      <c r="C43" s="12" t="s">
        <v>140</v>
      </c>
      <c r="D43" s="12" t="s">
        <v>11</v>
      </c>
      <c r="E43" s="12" t="s">
        <v>29</v>
      </c>
      <c r="F43" s="12" t="s">
        <v>13</v>
      </c>
      <c r="G43" s="13" t="s">
        <v>141</v>
      </c>
      <c r="I43" s="12" t="s">
        <v>77</v>
      </c>
    </row>
    <row r="44" ht="22.5" customHeight="1">
      <c r="A44" s="11">
        <v>45972.74906258102</v>
      </c>
      <c r="B44" s="12" t="s">
        <v>142</v>
      </c>
      <c r="C44" s="12" t="s">
        <v>143</v>
      </c>
      <c r="D44" s="12" t="s">
        <v>28</v>
      </c>
      <c r="E44" s="12" t="s">
        <v>12</v>
      </c>
      <c r="F44" s="12" t="s">
        <v>13</v>
      </c>
      <c r="G44" s="13" t="s">
        <v>144</v>
      </c>
      <c r="I44" s="12" t="s">
        <v>85</v>
      </c>
    </row>
    <row r="45" ht="22.5" customHeight="1">
      <c r="A45" s="11">
        <v>45972.75027413195</v>
      </c>
      <c r="B45" s="12" t="s">
        <v>145</v>
      </c>
      <c r="C45" s="12" t="s">
        <v>146</v>
      </c>
      <c r="D45" s="12" t="s">
        <v>11</v>
      </c>
      <c r="E45" s="12" t="s">
        <v>12</v>
      </c>
      <c r="F45" s="12" t="s">
        <v>13</v>
      </c>
      <c r="G45" s="13" t="s">
        <v>147</v>
      </c>
      <c r="I45" s="12" t="s">
        <v>81</v>
      </c>
    </row>
    <row r="46" ht="22.5" customHeight="1">
      <c r="A46" s="11">
        <v>45972.760837696755</v>
      </c>
      <c r="B46" s="12" t="s">
        <v>148</v>
      </c>
      <c r="C46" s="12" t="s">
        <v>149</v>
      </c>
      <c r="D46" s="12" t="s">
        <v>11</v>
      </c>
      <c r="E46" s="12" t="s">
        <v>12</v>
      </c>
      <c r="F46" s="12" t="s">
        <v>13</v>
      </c>
      <c r="G46" s="13" t="s">
        <v>150</v>
      </c>
      <c r="I46" s="12" t="s">
        <v>151</v>
      </c>
    </row>
    <row r="47" ht="22.5" customHeight="1">
      <c r="A47" s="11">
        <v>45972.76282679398</v>
      </c>
      <c r="B47" s="12" t="s">
        <v>152</v>
      </c>
      <c r="C47" s="12" t="s">
        <v>153</v>
      </c>
      <c r="D47" s="12" t="s">
        <v>28</v>
      </c>
      <c r="E47" s="12" t="s">
        <v>12</v>
      </c>
      <c r="F47" s="12" t="s">
        <v>13</v>
      </c>
      <c r="G47" s="13" t="s">
        <v>154</v>
      </c>
      <c r="I47" s="12" t="s">
        <v>77</v>
      </c>
    </row>
    <row r="48" ht="22.5" customHeight="1">
      <c r="A48" s="11">
        <v>45972.7661283912</v>
      </c>
      <c r="B48" s="12" t="s">
        <v>155</v>
      </c>
      <c r="C48" s="12" t="s">
        <v>156</v>
      </c>
      <c r="D48" s="12" t="s">
        <v>11</v>
      </c>
      <c r="E48" s="12" t="s">
        <v>12</v>
      </c>
      <c r="F48" s="12" t="s">
        <v>13</v>
      </c>
      <c r="G48" s="13" t="s">
        <v>157</v>
      </c>
      <c r="I48" s="12" t="s">
        <v>158</v>
      </c>
    </row>
    <row r="49" ht="22.5" customHeight="1">
      <c r="A49" s="11">
        <v>45972.77620140046</v>
      </c>
      <c r="B49" s="12" t="s">
        <v>159</v>
      </c>
      <c r="C49" s="12" t="s">
        <v>95</v>
      </c>
      <c r="D49" s="12" t="s">
        <v>11</v>
      </c>
      <c r="E49" s="12" t="s">
        <v>12</v>
      </c>
      <c r="F49" s="12" t="s">
        <v>13</v>
      </c>
      <c r="G49" s="13" t="s">
        <v>160</v>
      </c>
      <c r="I49" s="12" t="s">
        <v>93</v>
      </c>
    </row>
    <row r="50" ht="22.5" customHeight="1">
      <c r="A50" s="11">
        <v>45972.77922603009</v>
      </c>
      <c r="B50" s="12" t="s">
        <v>161</v>
      </c>
      <c r="C50" s="12" t="s">
        <v>162</v>
      </c>
      <c r="D50" s="12" t="s">
        <v>28</v>
      </c>
      <c r="E50" s="12" t="s">
        <v>12</v>
      </c>
      <c r="F50" s="12" t="s">
        <v>13</v>
      </c>
      <c r="G50" s="13" t="s">
        <v>163</v>
      </c>
      <c r="I50" s="12" t="s">
        <v>158</v>
      </c>
    </row>
    <row r="51" ht="22.5" customHeight="1">
      <c r="A51" s="11">
        <v>45972.78011638889</v>
      </c>
      <c r="B51" s="12" t="s">
        <v>164</v>
      </c>
      <c r="C51" s="12" t="s">
        <v>165</v>
      </c>
      <c r="D51" s="12" t="s">
        <v>28</v>
      </c>
      <c r="E51" s="12" t="s">
        <v>12</v>
      </c>
      <c r="F51" s="12" t="s">
        <v>13</v>
      </c>
      <c r="G51" s="13" t="s">
        <v>166</v>
      </c>
      <c r="I51" s="12" t="s">
        <v>81</v>
      </c>
    </row>
    <row r="52" ht="22.5" customHeight="1">
      <c r="A52" s="11">
        <v>45972.78324068287</v>
      </c>
      <c r="B52" s="12" t="s">
        <v>167</v>
      </c>
      <c r="C52" s="12" t="s">
        <v>168</v>
      </c>
      <c r="D52" s="12" t="s">
        <v>28</v>
      </c>
      <c r="E52" s="12" t="s">
        <v>12</v>
      </c>
      <c r="F52" s="12" t="s">
        <v>13</v>
      </c>
      <c r="G52" s="13" t="s">
        <v>169</v>
      </c>
      <c r="I52" s="12" t="s">
        <v>93</v>
      </c>
    </row>
    <row r="53" ht="22.5" customHeight="1">
      <c r="A53" s="11">
        <v>45972.78450873843</v>
      </c>
      <c r="B53" s="12" t="s">
        <v>170</v>
      </c>
      <c r="C53" s="12" t="s">
        <v>171</v>
      </c>
      <c r="D53" s="12" t="s">
        <v>28</v>
      </c>
      <c r="E53" s="12" t="s">
        <v>12</v>
      </c>
      <c r="F53" s="12" t="s">
        <v>13</v>
      </c>
      <c r="G53" s="13" t="s">
        <v>172</v>
      </c>
      <c r="I53" s="12" t="s">
        <v>93</v>
      </c>
    </row>
    <row r="54" ht="22.5" customHeight="1">
      <c r="A54" s="11">
        <v>45972.791333437504</v>
      </c>
      <c r="B54" s="12" t="s">
        <v>173</v>
      </c>
      <c r="C54" s="12" t="s">
        <v>174</v>
      </c>
      <c r="D54" s="12" t="s">
        <v>11</v>
      </c>
      <c r="E54" s="12" t="s">
        <v>12</v>
      </c>
      <c r="F54" s="12" t="s">
        <v>13</v>
      </c>
      <c r="G54" s="13" t="s">
        <v>175</v>
      </c>
      <c r="I54" s="12" t="s">
        <v>93</v>
      </c>
    </row>
    <row r="55" ht="22.5" customHeight="1">
      <c r="A55" s="11">
        <v>45972.80125775463</v>
      </c>
      <c r="B55" s="12" t="s">
        <v>176</v>
      </c>
      <c r="C55" s="12" t="s">
        <v>177</v>
      </c>
      <c r="D55" s="12" t="s">
        <v>11</v>
      </c>
      <c r="E55" s="12" t="s">
        <v>12</v>
      </c>
      <c r="F55" s="12" t="s">
        <v>13</v>
      </c>
      <c r="G55" s="13" t="s">
        <v>178</v>
      </c>
      <c r="I55" s="12" t="s">
        <v>179</v>
      </c>
    </row>
  </sheetData>
  <hyperlinks>
    <hyperlink r:id="rId1" ref="G2"/>
    <hyperlink r:id="rId2" ref="G3"/>
    <hyperlink r:id="rId3" ref="G10"/>
    <hyperlink r:id="rId4" ref="G13"/>
    <hyperlink r:id="rId5" ref="G15"/>
    <hyperlink r:id="rId6" ref="G21"/>
    <hyperlink r:id="rId7" ref="G22"/>
    <hyperlink r:id="rId8" ref="G23"/>
    <hyperlink r:id="rId9" ref="G24"/>
    <hyperlink r:id="rId10" ref="G25"/>
    <hyperlink r:id="rId11" ref="G26"/>
    <hyperlink r:id="rId12" ref="G40"/>
    <hyperlink r:id="rId13" ref="G41"/>
    <hyperlink r:id="rId14" ref="G42"/>
    <hyperlink r:id="rId15" ref="G43"/>
    <hyperlink r:id="rId16" ref="G44"/>
    <hyperlink r:id="rId17" ref="G45"/>
    <hyperlink r:id="rId18" ref="G46"/>
    <hyperlink r:id="rId19" ref="G47"/>
    <hyperlink r:id="rId20" ref="G48"/>
    <hyperlink r:id="rId21" ref="G49"/>
    <hyperlink r:id="rId22" ref="G50"/>
    <hyperlink r:id="rId23" ref="G51"/>
    <hyperlink r:id="rId24" ref="G52"/>
    <hyperlink r:id="rId25" ref="G53"/>
    <hyperlink r:id="rId26" ref="G54"/>
    <hyperlink r:id="rId27" ref="G55"/>
  </hyperlinks>
  <drawing r:id="rId28"/>
  <tableParts count="1">
    <tablePart r:id="rId3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5" max="25" width="24.0"/>
  </cols>
  <sheetData>
    <row r="1">
      <c r="A1" s="16" t="s">
        <v>180</v>
      </c>
    </row>
    <row r="2">
      <c r="A2" s="17" t="s">
        <v>181</v>
      </c>
      <c r="B2" s="18">
        <v>45931.0</v>
      </c>
      <c r="C2" s="18">
        <v>45932.0</v>
      </c>
      <c r="D2" s="18">
        <v>45933.0</v>
      </c>
      <c r="E2" s="18">
        <v>45934.0</v>
      </c>
      <c r="F2" s="18">
        <v>45937.0</v>
      </c>
      <c r="G2" s="19" t="s">
        <v>182</v>
      </c>
      <c r="H2" s="18">
        <v>45939.0</v>
      </c>
      <c r="I2" s="18">
        <v>45940.0</v>
      </c>
      <c r="J2" s="18">
        <v>45941.0</v>
      </c>
      <c r="K2" s="18">
        <v>45944.0</v>
      </c>
      <c r="L2" s="18">
        <v>45945.0</v>
      </c>
      <c r="M2" s="18">
        <v>45946.0</v>
      </c>
      <c r="N2" s="18">
        <v>45947.0</v>
      </c>
      <c r="O2" s="18">
        <v>45948.0</v>
      </c>
      <c r="P2" s="18">
        <v>45951.0</v>
      </c>
      <c r="Q2" s="18">
        <v>45952.0</v>
      </c>
      <c r="R2" s="18">
        <v>45953.0</v>
      </c>
      <c r="S2" s="18">
        <v>45954.0</v>
      </c>
      <c r="T2" s="18">
        <v>45955.0</v>
      </c>
      <c r="U2" s="18">
        <v>45958.0</v>
      </c>
      <c r="V2" s="18">
        <v>45959.0</v>
      </c>
      <c r="W2" s="18">
        <v>45960.0</v>
      </c>
      <c r="X2" s="20"/>
      <c r="Y2" s="20"/>
    </row>
    <row r="3">
      <c r="A3" s="21" t="s">
        <v>183</v>
      </c>
      <c r="B3" s="22">
        <v>1.0</v>
      </c>
      <c r="C3" s="22">
        <v>2.0</v>
      </c>
      <c r="D3" s="22">
        <v>2.0</v>
      </c>
      <c r="E3" s="22">
        <v>1.0</v>
      </c>
      <c r="F3" s="22">
        <v>2.0</v>
      </c>
      <c r="G3" s="22">
        <v>2.0</v>
      </c>
      <c r="H3" s="22">
        <v>1.0</v>
      </c>
      <c r="I3" s="22">
        <v>1.0</v>
      </c>
      <c r="J3" s="22">
        <v>1.0</v>
      </c>
      <c r="K3" s="22">
        <v>2.0</v>
      </c>
      <c r="L3" s="22">
        <v>2.0</v>
      </c>
      <c r="M3" s="22">
        <v>2.0</v>
      </c>
      <c r="N3" s="22">
        <v>2.0</v>
      </c>
      <c r="O3" s="22">
        <v>2.0</v>
      </c>
      <c r="P3" s="22">
        <v>2.0</v>
      </c>
      <c r="Q3" s="22">
        <v>2.0</v>
      </c>
      <c r="R3" s="22">
        <v>2.0</v>
      </c>
      <c r="S3" s="22">
        <v>2.0</v>
      </c>
      <c r="T3" s="22">
        <v>2.0</v>
      </c>
      <c r="U3" s="22">
        <v>2.0</v>
      </c>
      <c r="V3" s="22">
        <v>2.0</v>
      </c>
      <c r="W3" s="22">
        <v>2.0</v>
      </c>
      <c r="X3" s="23"/>
      <c r="Y3" s="22">
        <v>5.0</v>
      </c>
    </row>
    <row r="4">
      <c r="A4" s="24" t="s">
        <v>184</v>
      </c>
      <c r="B4" s="22">
        <v>2.0</v>
      </c>
      <c r="C4" s="22">
        <v>2.0</v>
      </c>
      <c r="D4" s="22">
        <v>2.0</v>
      </c>
      <c r="E4" s="23"/>
      <c r="F4" s="22">
        <v>2.0</v>
      </c>
      <c r="G4" s="22">
        <v>2.0</v>
      </c>
      <c r="H4" s="22">
        <v>1.0</v>
      </c>
      <c r="I4" s="22">
        <v>2.0</v>
      </c>
      <c r="J4" s="22">
        <v>2.0</v>
      </c>
      <c r="K4" s="22">
        <v>2.0</v>
      </c>
      <c r="L4" s="22">
        <v>2.0</v>
      </c>
      <c r="M4" s="22">
        <v>2.0</v>
      </c>
      <c r="N4" s="22">
        <v>1.0</v>
      </c>
      <c r="O4" s="22">
        <v>2.0</v>
      </c>
      <c r="P4" s="22">
        <v>2.0</v>
      </c>
      <c r="Q4" s="22">
        <v>2.0</v>
      </c>
      <c r="R4" s="22">
        <v>1.0</v>
      </c>
      <c r="S4" s="22">
        <v>2.0</v>
      </c>
      <c r="T4" s="22">
        <v>2.0</v>
      </c>
      <c r="U4" s="22">
        <v>2.0</v>
      </c>
      <c r="V4" s="22">
        <v>2.0</v>
      </c>
      <c r="W4" s="22">
        <v>2.0</v>
      </c>
      <c r="X4" s="23"/>
      <c r="Y4" s="22">
        <v>3.0</v>
      </c>
    </row>
    <row r="5">
      <c r="A5" s="21" t="s">
        <v>185</v>
      </c>
      <c r="B5" s="22">
        <v>1.0</v>
      </c>
      <c r="C5" s="22">
        <v>1.0</v>
      </c>
      <c r="D5" s="22">
        <v>1.0</v>
      </c>
      <c r="E5" s="22">
        <v>1.0</v>
      </c>
      <c r="F5" s="22">
        <v>2.0</v>
      </c>
      <c r="G5" s="22">
        <v>2.0</v>
      </c>
      <c r="H5" s="22">
        <v>0.0</v>
      </c>
      <c r="I5" s="22">
        <v>0.0</v>
      </c>
      <c r="J5" s="22">
        <v>2.0</v>
      </c>
      <c r="K5" s="22">
        <v>2.0</v>
      </c>
      <c r="L5" s="22">
        <v>2.0</v>
      </c>
      <c r="M5" s="22">
        <v>2.0</v>
      </c>
      <c r="N5" s="22">
        <v>1.0</v>
      </c>
      <c r="O5" s="22">
        <v>0.0</v>
      </c>
      <c r="P5" s="22">
        <v>0.0</v>
      </c>
      <c r="Q5" s="22">
        <v>2.0</v>
      </c>
      <c r="R5" s="22">
        <v>2.0</v>
      </c>
      <c r="S5" s="22">
        <v>0.0</v>
      </c>
      <c r="T5" s="22">
        <v>0.0</v>
      </c>
      <c r="U5" s="22">
        <v>2.0</v>
      </c>
      <c r="V5" s="22">
        <v>0.0</v>
      </c>
      <c r="W5" s="22">
        <v>2.0</v>
      </c>
      <c r="X5" s="23"/>
      <c r="Y5" s="22">
        <v>4.0</v>
      </c>
    </row>
    <row r="6">
      <c r="A6" s="24" t="s">
        <v>186</v>
      </c>
      <c r="B6" s="22">
        <v>2.0</v>
      </c>
      <c r="C6" s="22">
        <v>1.0</v>
      </c>
      <c r="D6" s="22">
        <v>2.0</v>
      </c>
      <c r="E6" s="23"/>
      <c r="F6" s="22">
        <v>2.0</v>
      </c>
      <c r="G6" s="22">
        <v>2.0</v>
      </c>
      <c r="H6" s="22">
        <v>2.0</v>
      </c>
      <c r="I6" s="22">
        <v>1.0</v>
      </c>
      <c r="J6" s="22">
        <v>1.0</v>
      </c>
      <c r="K6" s="22">
        <v>2.0</v>
      </c>
      <c r="L6" s="22">
        <v>2.0</v>
      </c>
      <c r="M6" s="22">
        <v>2.0</v>
      </c>
      <c r="N6" s="22">
        <v>2.0</v>
      </c>
      <c r="O6" s="22">
        <v>2.0</v>
      </c>
      <c r="P6" s="22">
        <v>2.0</v>
      </c>
      <c r="Q6" s="22">
        <v>2.0</v>
      </c>
      <c r="R6" s="22">
        <v>1.0</v>
      </c>
      <c r="S6" s="22">
        <v>2.0</v>
      </c>
      <c r="T6" s="22">
        <v>2.0</v>
      </c>
      <c r="U6" s="22">
        <v>2.0</v>
      </c>
      <c r="V6" s="22">
        <v>2.0</v>
      </c>
      <c r="W6" s="22">
        <v>2.0</v>
      </c>
      <c r="X6" s="23"/>
      <c r="Y6" s="23"/>
    </row>
    <row r="7">
      <c r="A7" s="24" t="s">
        <v>187</v>
      </c>
      <c r="B7" s="22">
        <v>2.0</v>
      </c>
      <c r="C7" s="22">
        <v>1.0</v>
      </c>
      <c r="D7" s="22">
        <v>2.0</v>
      </c>
      <c r="E7" s="23"/>
      <c r="F7" s="22">
        <v>2.0</v>
      </c>
      <c r="G7" s="22">
        <v>2.0</v>
      </c>
      <c r="H7" s="22">
        <v>2.0</v>
      </c>
      <c r="I7" s="22">
        <v>1.0</v>
      </c>
      <c r="J7" s="22">
        <v>1.0</v>
      </c>
      <c r="K7" s="22">
        <v>2.0</v>
      </c>
      <c r="L7" s="22">
        <v>2.0</v>
      </c>
      <c r="M7" s="22">
        <v>2.0</v>
      </c>
      <c r="N7" s="22">
        <v>2.0</v>
      </c>
      <c r="O7" s="22">
        <v>2.0</v>
      </c>
      <c r="P7" s="22">
        <v>2.0</v>
      </c>
      <c r="Q7" s="22">
        <v>2.0</v>
      </c>
      <c r="R7" s="22">
        <v>1.0</v>
      </c>
      <c r="S7" s="22">
        <v>2.0</v>
      </c>
      <c r="T7" s="22">
        <v>2.0</v>
      </c>
      <c r="U7" s="22">
        <v>2.0</v>
      </c>
      <c r="V7" s="22">
        <v>2.0</v>
      </c>
      <c r="W7" s="22">
        <v>2.0</v>
      </c>
      <c r="X7" s="23"/>
      <c r="Y7" s="23"/>
    </row>
    <row r="8">
      <c r="A8" s="21" t="s">
        <v>188</v>
      </c>
      <c r="B8" s="22">
        <v>2.0</v>
      </c>
      <c r="C8" s="22">
        <v>1.0</v>
      </c>
      <c r="D8" s="22">
        <v>1.0</v>
      </c>
      <c r="E8" s="22">
        <v>1.0</v>
      </c>
      <c r="F8" s="22">
        <v>2.0</v>
      </c>
      <c r="G8" s="22">
        <v>2.0</v>
      </c>
      <c r="H8" s="22">
        <v>2.0</v>
      </c>
      <c r="I8" s="22">
        <v>2.0</v>
      </c>
      <c r="J8" s="22">
        <v>2.0</v>
      </c>
      <c r="K8" s="22">
        <v>1.0</v>
      </c>
      <c r="L8" s="22">
        <v>0.0</v>
      </c>
      <c r="M8" s="22">
        <v>2.0</v>
      </c>
      <c r="N8" s="22">
        <v>2.0</v>
      </c>
      <c r="O8" s="22">
        <v>1.0</v>
      </c>
      <c r="P8" s="22">
        <v>2.0</v>
      </c>
      <c r="Q8" s="22">
        <v>1.0</v>
      </c>
      <c r="R8" s="22">
        <v>1.0</v>
      </c>
      <c r="S8" s="22">
        <v>2.0</v>
      </c>
      <c r="T8" s="22">
        <v>2.0</v>
      </c>
      <c r="U8" s="22">
        <v>2.0</v>
      </c>
      <c r="V8" s="22">
        <v>2.0</v>
      </c>
      <c r="W8" s="22">
        <v>2.0</v>
      </c>
      <c r="X8" s="23"/>
      <c r="Y8" s="23"/>
    </row>
    <row r="9">
      <c r="A9" s="21" t="s">
        <v>189</v>
      </c>
      <c r="B9" s="22">
        <v>1.0</v>
      </c>
      <c r="C9" s="22">
        <v>2.0</v>
      </c>
      <c r="D9" s="22">
        <v>1.0</v>
      </c>
      <c r="E9" s="22">
        <v>1.0</v>
      </c>
      <c r="F9" s="22">
        <v>2.0</v>
      </c>
      <c r="G9" s="22">
        <v>2.0</v>
      </c>
      <c r="H9" s="22">
        <v>2.0</v>
      </c>
      <c r="I9" s="22">
        <v>2.0</v>
      </c>
      <c r="J9" s="22">
        <v>2.0</v>
      </c>
      <c r="K9" s="22">
        <v>2.0</v>
      </c>
      <c r="L9" s="22">
        <v>2.0</v>
      </c>
      <c r="M9" s="22">
        <v>1.0</v>
      </c>
      <c r="N9" s="22">
        <v>2.0</v>
      </c>
      <c r="O9" s="22">
        <v>1.0</v>
      </c>
      <c r="P9" s="22">
        <v>2.0</v>
      </c>
      <c r="Q9" s="22">
        <v>1.0</v>
      </c>
      <c r="R9" s="22">
        <v>2.0</v>
      </c>
      <c r="S9" s="22">
        <v>1.0</v>
      </c>
      <c r="T9" s="22">
        <v>2.0</v>
      </c>
      <c r="U9" s="22">
        <v>2.0</v>
      </c>
      <c r="V9" s="22">
        <v>2.0</v>
      </c>
      <c r="W9" s="22">
        <v>2.0</v>
      </c>
      <c r="X9" s="23"/>
      <c r="Y9" s="23"/>
    </row>
    <row r="10">
      <c r="A10" s="24" t="s">
        <v>190</v>
      </c>
      <c r="B10" s="22">
        <v>2.0</v>
      </c>
      <c r="C10" s="22">
        <v>2.0</v>
      </c>
      <c r="D10" s="22">
        <v>2.0</v>
      </c>
      <c r="E10" s="23"/>
      <c r="F10" s="22">
        <v>2.0</v>
      </c>
      <c r="G10" s="22">
        <v>2.0</v>
      </c>
      <c r="H10" s="22">
        <v>0.0</v>
      </c>
      <c r="I10" s="22">
        <v>2.0</v>
      </c>
      <c r="J10" s="22">
        <v>1.0</v>
      </c>
      <c r="K10" s="22">
        <v>2.0</v>
      </c>
      <c r="L10" s="22">
        <v>2.0</v>
      </c>
      <c r="M10" s="22">
        <v>2.0</v>
      </c>
      <c r="N10" s="22">
        <v>1.0</v>
      </c>
      <c r="O10" s="22">
        <v>0.0</v>
      </c>
      <c r="P10" s="22">
        <v>2.0</v>
      </c>
      <c r="Q10" s="22">
        <v>2.0</v>
      </c>
      <c r="R10" s="22">
        <v>2.0</v>
      </c>
      <c r="S10" s="22">
        <v>2.0</v>
      </c>
      <c r="T10" s="22">
        <v>1.0</v>
      </c>
      <c r="U10" s="22">
        <v>2.0</v>
      </c>
      <c r="V10" s="22">
        <v>2.0</v>
      </c>
      <c r="W10" s="22">
        <v>2.0</v>
      </c>
      <c r="X10" s="23"/>
      <c r="Y10" s="23"/>
    </row>
    <row r="11">
      <c r="A11" s="21" t="s">
        <v>191</v>
      </c>
      <c r="B11" s="22">
        <v>2.0</v>
      </c>
      <c r="C11" s="22">
        <v>2.0</v>
      </c>
      <c r="D11" s="22">
        <v>1.0</v>
      </c>
      <c r="E11" s="22">
        <v>1.0</v>
      </c>
      <c r="F11" s="22">
        <v>2.0</v>
      </c>
      <c r="G11" s="22">
        <v>2.0</v>
      </c>
      <c r="H11" s="22">
        <v>2.0</v>
      </c>
      <c r="I11" s="22">
        <v>0.0</v>
      </c>
      <c r="J11" s="22">
        <v>2.0</v>
      </c>
      <c r="K11" s="22">
        <v>2.0</v>
      </c>
      <c r="L11" s="22">
        <v>2.0</v>
      </c>
      <c r="M11" s="22">
        <v>2.0</v>
      </c>
      <c r="N11" s="22">
        <v>1.0</v>
      </c>
      <c r="O11" s="22">
        <v>1.0</v>
      </c>
      <c r="P11" s="22">
        <v>0.0</v>
      </c>
      <c r="Q11" s="22">
        <v>1.0</v>
      </c>
      <c r="R11" s="22">
        <v>2.0</v>
      </c>
      <c r="S11" s="22">
        <v>2.0</v>
      </c>
      <c r="T11" s="22">
        <v>2.0</v>
      </c>
      <c r="U11" s="22">
        <v>2.0</v>
      </c>
      <c r="V11" s="22">
        <v>2.0</v>
      </c>
      <c r="W11" s="22">
        <v>2.0</v>
      </c>
      <c r="X11" s="23"/>
      <c r="Y11" s="23"/>
    </row>
    <row r="12">
      <c r="A12" s="21" t="s">
        <v>192</v>
      </c>
      <c r="B12" s="22">
        <v>1.0</v>
      </c>
      <c r="C12" s="22">
        <v>2.0</v>
      </c>
      <c r="D12" s="22">
        <v>1.0</v>
      </c>
      <c r="E12" s="23"/>
      <c r="F12" s="22">
        <v>2.0</v>
      </c>
      <c r="G12" s="22">
        <v>2.0</v>
      </c>
      <c r="H12" s="22">
        <v>2.0</v>
      </c>
      <c r="I12" s="22">
        <v>2.0</v>
      </c>
      <c r="J12" s="22">
        <v>1.0</v>
      </c>
      <c r="K12" s="22">
        <v>2.0</v>
      </c>
      <c r="L12" s="22">
        <v>2.0</v>
      </c>
      <c r="M12" s="22">
        <v>2.0</v>
      </c>
      <c r="N12" s="22">
        <v>1.0</v>
      </c>
      <c r="O12" s="22">
        <v>2.0</v>
      </c>
      <c r="P12" s="22">
        <v>2.0</v>
      </c>
      <c r="Q12" s="22">
        <v>1.0</v>
      </c>
      <c r="R12" s="22">
        <v>0.0</v>
      </c>
      <c r="S12" s="22">
        <v>0.0</v>
      </c>
      <c r="T12" s="22">
        <v>1.0</v>
      </c>
      <c r="U12" s="22">
        <v>2.0</v>
      </c>
      <c r="V12" s="22">
        <v>2.0</v>
      </c>
      <c r="W12" s="22">
        <v>2.0</v>
      </c>
      <c r="X12" s="23"/>
      <c r="Y12" s="23"/>
    </row>
    <row r="13">
      <c r="A13" s="24" t="s">
        <v>193</v>
      </c>
      <c r="B13" s="22">
        <v>2.0</v>
      </c>
      <c r="C13" s="22">
        <v>1.0</v>
      </c>
      <c r="D13" s="22">
        <v>1.0</v>
      </c>
      <c r="E13" s="23"/>
      <c r="F13" s="22">
        <v>2.0</v>
      </c>
      <c r="G13" s="22">
        <v>1.0</v>
      </c>
      <c r="H13" s="22">
        <v>2.0</v>
      </c>
      <c r="I13" s="22">
        <v>2.0</v>
      </c>
      <c r="J13" s="22">
        <v>2.0</v>
      </c>
      <c r="K13" s="22">
        <v>2.0</v>
      </c>
      <c r="L13" s="22">
        <v>2.0</v>
      </c>
      <c r="M13" s="22">
        <v>2.0</v>
      </c>
      <c r="N13" s="22">
        <v>2.0</v>
      </c>
      <c r="O13" s="22">
        <v>2.0</v>
      </c>
      <c r="P13" s="22">
        <v>2.0</v>
      </c>
      <c r="Q13" s="22">
        <v>2.0</v>
      </c>
      <c r="R13" s="22">
        <v>2.0</v>
      </c>
      <c r="S13" s="22">
        <v>2.0</v>
      </c>
      <c r="T13" s="22">
        <v>2.0</v>
      </c>
      <c r="U13" s="22">
        <v>2.0</v>
      </c>
      <c r="V13" s="22">
        <v>2.0</v>
      </c>
      <c r="W13" s="22">
        <v>2.0</v>
      </c>
      <c r="X13" s="23"/>
      <c r="Y13" s="23"/>
    </row>
    <row r="14">
      <c r="A14" s="21" t="s">
        <v>194</v>
      </c>
      <c r="B14" s="22">
        <v>2.0</v>
      </c>
      <c r="C14" s="22">
        <v>2.0</v>
      </c>
      <c r="D14" s="22">
        <v>2.0</v>
      </c>
      <c r="E14" s="23"/>
      <c r="F14" s="22">
        <v>2.0</v>
      </c>
      <c r="G14" s="22">
        <v>2.0</v>
      </c>
      <c r="H14" s="22">
        <v>0.0</v>
      </c>
      <c r="I14" s="22">
        <v>0.0</v>
      </c>
      <c r="J14" s="22">
        <v>1.0</v>
      </c>
      <c r="K14" s="22">
        <v>2.0</v>
      </c>
      <c r="L14" s="22">
        <v>2.0</v>
      </c>
      <c r="M14" s="22">
        <v>2.0</v>
      </c>
      <c r="N14" s="22">
        <v>0.0</v>
      </c>
      <c r="O14" s="22">
        <v>2.0</v>
      </c>
      <c r="P14" s="22">
        <v>0.0</v>
      </c>
      <c r="Q14" s="22">
        <v>2.0</v>
      </c>
      <c r="R14" s="22">
        <v>2.0</v>
      </c>
      <c r="S14" s="22">
        <v>2.0</v>
      </c>
      <c r="T14" s="22">
        <v>0.0</v>
      </c>
      <c r="U14" s="22">
        <v>2.0</v>
      </c>
      <c r="V14" s="22">
        <v>2.0</v>
      </c>
      <c r="W14" s="22">
        <v>2.0</v>
      </c>
      <c r="X14" s="23"/>
      <c r="Y14" s="23"/>
    </row>
    <row r="15">
      <c r="A15" s="21" t="s">
        <v>195</v>
      </c>
      <c r="B15" s="22">
        <v>1.0</v>
      </c>
      <c r="C15" s="22">
        <v>2.0</v>
      </c>
      <c r="D15" s="22">
        <v>2.0</v>
      </c>
      <c r="E15" s="23"/>
      <c r="F15" s="22">
        <v>2.0</v>
      </c>
      <c r="G15" s="22">
        <v>0.0</v>
      </c>
      <c r="H15" s="22">
        <v>0.0</v>
      </c>
      <c r="I15" s="22">
        <v>0.0</v>
      </c>
      <c r="J15" s="22">
        <v>2.0</v>
      </c>
      <c r="K15" s="22">
        <v>2.0</v>
      </c>
      <c r="L15" s="22">
        <v>2.0</v>
      </c>
      <c r="M15" s="22">
        <v>2.0</v>
      </c>
      <c r="N15" s="22">
        <v>2.0</v>
      </c>
      <c r="O15" s="22">
        <v>2.0</v>
      </c>
      <c r="P15" s="22">
        <v>1.0</v>
      </c>
      <c r="Q15" s="22">
        <v>1.0</v>
      </c>
      <c r="R15" s="22">
        <v>2.0</v>
      </c>
      <c r="S15" s="22">
        <v>2.0</v>
      </c>
      <c r="T15" s="22">
        <v>0.0</v>
      </c>
      <c r="U15" s="22">
        <v>1.0</v>
      </c>
      <c r="V15" s="22">
        <v>2.0</v>
      </c>
      <c r="W15" s="22">
        <v>2.0</v>
      </c>
      <c r="X15" s="23"/>
      <c r="Y15" s="23"/>
    </row>
    <row r="16">
      <c r="A16" s="21" t="s">
        <v>196</v>
      </c>
      <c r="B16" s="22">
        <v>2.0</v>
      </c>
      <c r="C16" s="22">
        <v>1.0</v>
      </c>
      <c r="D16" s="22">
        <v>2.0</v>
      </c>
      <c r="E16" s="22">
        <v>1.0</v>
      </c>
      <c r="F16" s="22">
        <v>2.0</v>
      </c>
      <c r="G16" s="22">
        <v>1.0</v>
      </c>
      <c r="H16" s="22">
        <v>2.0</v>
      </c>
      <c r="I16" s="22">
        <v>1.0</v>
      </c>
      <c r="J16" s="22">
        <v>1.0</v>
      </c>
      <c r="K16" s="22">
        <v>2.0</v>
      </c>
      <c r="L16" s="22">
        <v>2.0</v>
      </c>
      <c r="M16" s="22">
        <v>2.0</v>
      </c>
      <c r="N16" s="22">
        <v>2.0</v>
      </c>
      <c r="O16" s="22">
        <v>2.0</v>
      </c>
      <c r="P16" s="22">
        <v>2.0</v>
      </c>
      <c r="Q16" s="22">
        <v>1.0</v>
      </c>
      <c r="R16" s="22">
        <v>2.0</v>
      </c>
      <c r="S16" s="22">
        <v>2.0</v>
      </c>
      <c r="T16" s="22">
        <v>2.0</v>
      </c>
      <c r="U16" s="22">
        <v>2.0</v>
      </c>
      <c r="V16" s="22">
        <v>2.0</v>
      </c>
      <c r="W16" s="22">
        <v>2.0</v>
      </c>
      <c r="X16" s="23"/>
      <c r="Y16" s="23"/>
    </row>
    <row r="17">
      <c r="A17" s="21" t="s">
        <v>197</v>
      </c>
      <c r="B17" s="22">
        <v>2.0</v>
      </c>
      <c r="C17" s="22">
        <v>2.0</v>
      </c>
      <c r="D17" s="22">
        <v>2.0</v>
      </c>
      <c r="E17" s="23"/>
      <c r="F17" s="22">
        <v>2.0</v>
      </c>
      <c r="G17" s="22">
        <v>2.0</v>
      </c>
      <c r="H17" s="22">
        <v>2.0</v>
      </c>
      <c r="I17" s="22">
        <v>2.0</v>
      </c>
      <c r="J17" s="22">
        <v>1.0</v>
      </c>
      <c r="K17" s="22">
        <v>2.0</v>
      </c>
      <c r="L17" s="22">
        <v>2.0</v>
      </c>
      <c r="M17" s="22">
        <v>2.0</v>
      </c>
      <c r="N17" s="22">
        <v>2.0</v>
      </c>
      <c r="O17" s="22">
        <v>2.0</v>
      </c>
      <c r="P17" s="22">
        <v>2.0</v>
      </c>
      <c r="Q17" s="22">
        <v>1.0</v>
      </c>
      <c r="R17" s="22">
        <v>2.0</v>
      </c>
      <c r="S17" s="22">
        <v>2.0</v>
      </c>
      <c r="T17" s="22">
        <v>0.0</v>
      </c>
      <c r="U17" s="22">
        <v>0.0</v>
      </c>
      <c r="V17" s="22">
        <v>1.0</v>
      </c>
      <c r="W17" s="22">
        <v>1.0</v>
      </c>
      <c r="X17" s="25"/>
      <c r="Y17" s="25"/>
    </row>
    <row r="18">
      <c r="A18" s="21" t="s">
        <v>198</v>
      </c>
      <c r="B18" s="22">
        <v>0.0</v>
      </c>
      <c r="C18" s="22">
        <v>2.0</v>
      </c>
      <c r="D18" s="22">
        <v>2.0</v>
      </c>
      <c r="E18" s="23"/>
      <c r="F18" s="22">
        <v>2.0</v>
      </c>
      <c r="G18" s="22">
        <v>2.0</v>
      </c>
      <c r="H18" s="22">
        <v>0.0</v>
      </c>
      <c r="I18" s="22">
        <v>1.0</v>
      </c>
      <c r="J18" s="22">
        <v>1.0</v>
      </c>
      <c r="K18" s="22">
        <v>2.0</v>
      </c>
      <c r="L18" s="22">
        <v>2.0</v>
      </c>
      <c r="M18" s="22">
        <v>2.0</v>
      </c>
      <c r="N18" s="22">
        <v>2.0</v>
      </c>
      <c r="O18" s="22">
        <v>2.0</v>
      </c>
      <c r="P18" s="22">
        <v>2.0</v>
      </c>
      <c r="Q18" s="22">
        <v>1.0</v>
      </c>
      <c r="R18" s="22">
        <v>2.0</v>
      </c>
      <c r="S18" s="22">
        <v>2.0</v>
      </c>
      <c r="T18" s="22">
        <v>2.0</v>
      </c>
      <c r="U18" s="22">
        <v>2.0</v>
      </c>
      <c r="V18" s="22">
        <v>2.0</v>
      </c>
      <c r="W18" s="22">
        <v>2.0</v>
      </c>
      <c r="X18" s="23"/>
      <c r="Y18" s="23"/>
    </row>
    <row r="19">
      <c r="A19" s="21" t="s">
        <v>199</v>
      </c>
      <c r="B19" s="22">
        <v>2.0</v>
      </c>
      <c r="C19" s="22">
        <v>2.0</v>
      </c>
      <c r="D19" s="22">
        <v>2.0</v>
      </c>
      <c r="E19" s="23"/>
      <c r="F19" s="22">
        <v>2.0</v>
      </c>
      <c r="G19" s="22">
        <v>2.0</v>
      </c>
      <c r="H19" s="22">
        <v>2.0</v>
      </c>
      <c r="I19" s="22">
        <v>2.0</v>
      </c>
      <c r="J19" s="22">
        <v>2.0</v>
      </c>
      <c r="K19" s="22">
        <v>2.0</v>
      </c>
      <c r="L19" s="22">
        <v>2.0</v>
      </c>
      <c r="M19" s="22">
        <v>2.0</v>
      </c>
      <c r="N19" s="22">
        <v>0.0</v>
      </c>
      <c r="O19" s="22">
        <v>0.0</v>
      </c>
      <c r="P19" s="22">
        <v>2.0</v>
      </c>
      <c r="Q19" s="22">
        <v>1.0</v>
      </c>
      <c r="R19" s="22">
        <v>2.0</v>
      </c>
      <c r="S19" s="22">
        <v>0.0</v>
      </c>
      <c r="T19" s="22">
        <v>2.0</v>
      </c>
      <c r="U19" s="22">
        <v>2.0</v>
      </c>
      <c r="V19" s="22">
        <v>2.0</v>
      </c>
      <c r="W19" s="22">
        <v>2.0</v>
      </c>
      <c r="X19" s="23"/>
      <c r="Y19" s="23"/>
    </row>
    <row r="20">
      <c r="A20" s="21" t="s">
        <v>200</v>
      </c>
      <c r="B20" s="22">
        <v>1.0</v>
      </c>
      <c r="C20" s="22">
        <v>1.0</v>
      </c>
      <c r="D20" s="22">
        <v>2.0</v>
      </c>
      <c r="E20" s="22">
        <v>1.0</v>
      </c>
      <c r="F20" s="22">
        <v>2.0</v>
      </c>
      <c r="G20" s="22">
        <v>2.0</v>
      </c>
      <c r="H20" s="22">
        <v>2.0</v>
      </c>
      <c r="I20" s="22">
        <v>2.0</v>
      </c>
      <c r="J20" s="22">
        <v>2.0</v>
      </c>
      <c r="K20" s="22">
        <v>2.0</v>
      </c>
      <c r="L20" s="22">
        <v>2.0</v>
      </c>
      <c r="M20" s="22">
        <v>2.0</v>
      </c>
      <c r="N20" s="22">
        <v>2.0</v>
      </c>
      <c r="O20" s="22">
        <v>2.0</v>
      </c>
      <c r="P20" s="22">
        <v>2.0</v>
      </c>
      <c r="Q20" s="22">
        <v>2.0</v>
      </c>
      <c r="R20" s="22">
        <v>2.0</v>
      </c>
      <c r="S20" s="22">
        <v>2.0</v>
      </c>
      <c r="T20" s="22">
        <v>2.0</v>
      </c>
      <c r="U20" s="22">
        <v>2.0</v>
      </c>
      <c r="V20" s="22">
        <v>2.0</v>
      </c>
      <c r="W20" s="22">
        <v>2.0</v>
      </c>
      <c r="X20" s="23"/>
      <c r="Y20" s="23"/>
    </row>
    <row r="21">
      <c r="A21" s="21" t="s">
        <v>201</v>
      </c>
      <c r="B21" s="22">
        <v>2.0</v>
      </c>
      <c r="C21" s="22">
        <v>2.0</v>
      </c>
      <c r="D21" s="22">
        <v>1.0</v>
      </c>
      <c r="E21" s="22">
        <v>1.0</v>
      </c>
      <c r="F21" s="22">
        <v>1.0</v>
      </c>
      <c r="G21" s="22">
        <v>2.0</v>
      </c>
      <c r="H21" s="22">
        <v>2.0</v>
      </c>
      <c r="I21" s="22">
        <v>2.0</v>
      </c>
      <c r="J21" s="22">
        <v>2.0</v>
      </c>
      <c r="K21" s="22">
        <v>2.0</v>
      </c>
      <c r="L21" s="22">
        <v>2.0</v>
      </c>
      <c r="M21" s="22">
        <v>2.0</v>
      </c>
      <c r="N21" s="22">
        <v>2.0</v>
      </c>
      <c r="O21" s="22">
        <v>2.0</v>
      </c>
      <c r="P21" s="22">
        <v>2.0</v>
      </c>
      <c r="Q21" s="22">
        <v>2.0</v>
      </c>
      <c r="R21" s="22">
        <v>2.0</v>
      </c>
      <c r="S21" s="22">
        <v>2.0</v>
      </c>
      <c r="T21" s="22">
        <v>2.0</v>
      </c>
      <c r="U21" s="22">
        <v>2.0</v>
      </c>
      <c r="V21" s="22">
        <v>2.0</v>
      </c>
      <c r="W21" s="22">
        <v>2.0</v>
      </c>
      <c r="X21" s="23"/>
      <c r="Y21" s="23"/>
    </row>
    <row r="22">
      <c r="A22" s="21" t="s">
        <v>202</v>
      </c>
      <c r="B22" s="22">
        <v>1.0</v>
      </c>
      <c r="C22" s="22">
        <v>2.0</v>
      </c>
      <c r="D22" s="22">
        <v>2.0</v>
      </c>
      <c r="E22" s="23"/>
      <c r="F22" s="22">
        <v>0.0</v>
      </c>
      <c r="G22" s="22">
        <v>2.0</v>
      </c>
      <c r="H22" s="22">
        <v>0.0</v>
      </c>
      <c r="I22" s="22">
        <v>2.0</v>
      </c>
      <c r="J22" s="22">
        <v>1.0</v>
      </c>
      <c r="K22" s="22">
        <v>2.0</v>
      </c>
      <c r="L22" s="22">
        <v>1.0</v>
      </c>
      <c r="M22" s="22">
        <v>1.0</v>
      </c>
      <c r="N22" s="22">
        <v>1.0</v>
      </c>
      <c r="O22" s="22">
        <v>2.0</v>
      </c>
      <c r="P22" s="22">
        <v>1.0</v>
      </c>
      <c r="Q22" s="22">
        <v>2.0</v>
      </c>
      <c r="R22" s="22">
        <v>2.0</v>
      </c>
      <c r="S22" s="22">
        <v>2.0</v>
      </c>
      <c r="T22" s="22">
        <v>2.0</v>
      </c>
      <c r="U22" s="22">
        <v>1.0</v>
      </c>
      <c r="V22" s="22">
        <v>0.0</v>
      </c>
      <c r="W22" s="22">
        <v>0.0</v>
      </c>
      <c r="X22" s="25"/>
      <c r="Y22" s="25"/>
    </row>
    <row r="23">
      <c r="A23" s="21" t="s">
        <v>203</v>
      </c>
      <c r="B23" s="22">
        <v>2.0</v>
      </c>
      <c r="C23" s="22">
        <v>2.0</v>
      </c>
      <c r="D23" s="22">
        <v>2.0</v>
      </c>
      <c r="E23" s="23"/>
      <c r="F23" s="22">
        <v>2.0</v>
      </c>
      <c r="G23" s="22">
        <v>2.0</v>
      </c>
      <c r="H23" s="22">
        <v>2.0</v>
      </c>
      <c r="I23" s="22">
        <v>2.0</v>
      </c>
      <c r="J23" s="22">
        <v>2.0</v>
      </c>
      <c r="K23" s="22">
        <v>2.0</v>
      </c>
      <c r="L23" s="22">
        <v>1.0</v>
      </c>
      <c r="M23" s="22">
        <v>1.0</v>
      </c>
      <c r="N23" s="22">
        <v>1.0</v>
      </c>
      <c r="O23" s="22">
        <v>2.0</v>
      </c>
      <c r="P23" s="22">
        <v>2.0</v>
      </c>
      <c r="Q23" s="22">
        <v>2.0</v>
      </c>
      <c r="R23" s="22">
        <v>2.0</v>
      </c>
      <c r="S23" s="22">
        <v>2.0</v>
      </c>
      <c r="T23" s="22">
        <v>2.0</v>
      </c>
      <c r="U23" s="22">
        <v>2.0</v>
      </c>
      <c r="V23" s="22">
        <v>2.0</v>
      </c>
      <c r="W23" s="22">
        <v>2.0</v>
      </c>
      <c r="X23" s="23"/>
      <c r="Y23" s="23"/>
    </row>
    <row r="24">
      <c r="A24" s="21" t="s">
        <v>204</v>
      </c>
      <c r="B24" s="22">
        <v>2.0</v>
      </c>
      <c r="C24" s="22">
        <v>2.0</v>
      </c>
      <c r="D24" s="22">
        <v>2.0</v>
      </c>
      <c r="E24" s="23"/>
      <c r="F24" s="22">
        <v>2.0</v>
      </c>
      <c r="G24" s="22">
        <v>2.0</v>
      </c>
      <c r="H24" s="22">
        <v>2.0</v>
      </c>
      <c r="I24" s="22">
        <v>2.0</v>
      </c>
      <c r="J24" s="22">
        <v>2.0</v>
      </c>
      <c r="K24" s="22">
        <v>1.0</v>
      </c>
      <c r="L24" s="22">
        <v>1.0</v>
      </c>
      <c r="M24" s="22">
        <v>1.0</v>
      </c>
      <c r="N24" s="22">
        <v>1.0</v>
      </c>
      <c r="O24" s="22">
        <v>2.0</v>
      </c>
      <c r="P24" s="22">
        <v>2.0</v>
      </c>
      <c r="Q24" s="22">
        <v>2.0</v>
      </c>
      <c r="R24" s="22">
        <v>2.0</v>
      </c>
      <c r="S24" s="22">
        <v>2.0</v>
      </c>
      <c r="T24" s="22">
        <v>2.0</v>
      </c>
      <c r="U24" s="22">
        <v>2.0</v>
      </c>
      <c r="V24" s="22">
        <v>2.0</v>
      </c>
      <c r="W24" s="22">
        <v>2.0</v>
      </c>
      <c r="X24" s="23"/>
      <c r="Y24" s="23"/>
    </row>
    <row r="25">
      <c r="A25" s="21" t="s">
        <v>205</v>
      </c>
      <c r="B25" s="22">
        <v>2.0</v>
      </c>
      <c r="C25" s="22">
        <v>2.0</v>
      </c>
      <c r="D25" s="22">
        <v>2.0</v>
      </c>
      <c r="E25" s="23"/>
      <c r="F25" s="22">
        <v>2.0</v>
      </c>
      <c r="G25" s="22">
        <v>2.0</v>
      </c>
      <c r="H25" s="22">
        <v>0.0</v>
      </c>
      <c r="I25" s="22">
        <v>1.0</v>
      </c>
      <c r="J25" s="22">
        <v>2.0</v>
      </c>
      <c r="K25" s="22">
        <v>2.0</v>
      </c>
      <c r="L25" s="22">
        <v>2.0</v>
      </c>
      <c r="M25" s="22">
        <v>2.0</v>
      </c>
      <c r="N25" s="22">
        <v>2.0</v>
      </c>
      <c r="O25" s="22">
        <v>2.0</v>
      </c>
      <c r="P25" s="22">
        <v>2.0</v>
      </c>
      <c r="Q25" s="22">
        <v>2.0</v>
      </c>
      <c r="R25" s="22">
        <v>1.0</v>
      </c>
      <c r="S25" s="22">
        <v>2.0</v>
      </c>
      <c r="T25" s="22">
        <v>1.0</v>
      </c>
      <c r="U25" s="22">
        <v>2.0</v>
      </c>
      <c r="V25" s="22">
        <v>2.0</v>
      </c>
      <c r="W25" s="22">
        <v>2.0</v>
      </c>
      <c r="X25" s="23"/>
      <c r="Y25" s="23"/>
    </row>
    <row r="26">
      <c r="A26" s="24" t="s">
        <v>206</v>
      </c>
      <c r="B26" s="22">
        <v>1.0</v>
      </c>
      <c r="C26" s="22">
        <v>1.0</v>
      </c>
      <c r="D26" s="22">
        <v>1.0</v>
      </c>
      <c r="E26" s="22">
        <v>1.0</v>
      </c>
      <c r="F26" s="22">
        <v>2.0</v>
      </c>
      <c r="G26" s="22">
        <v>0.0</v>
      </c>
      <c r="H26" s="22">
        <v>2.0</v>
      </c>
      <c r="I26" s="22">
        <v>0.0</v>
      </c>
      <c r="J26" s="22">
        <v>2.0</v>
      </c>
      <c r="K26" s="22">
        <v>1.0</v>
      </c>
      <c r="L26" s="22">
        <v>1.0</v>
      </c>
      <c r="M26" s="22">
        <v>2.0</v>
      </c>
      <c r="N26" s="22">
        <v>2.0</v>
      </c>
      <c r="O26" s="22">
        <v>2.0</v>
      </c>
      <c r="P26" s="22">
        <v>2.0</v>
      </c>
      <c r="Q26" s="22">
        <v>2.0</v>
      </c>
      <c r="R26" s="22">
        <v>2.0</v>
      </c>
      <c r="S26" s="22">
        <v>2.0</v>
      </c>
      <c r="T26" s="22">
        <v>2.0</v>
      </c>
      <c r="U26" s="22">
        <v>2.0</v>
      </c>
      <c r="V26" s="22">
        <v>2.0</v>
      </c>
      <c r="W26" s="22">
        <v>2.0</v>
      </c>
      <c r="X26" s="23"/>
      <c r="Y26" s="23"/>
    </row>
    <row r="27">
      <c r="A27" s="21" t="s">
        <v>207</v>
      </c>
      <c r="B27" s="22">
        <v>1.0</v>
      </c>
      <c r="C27" s="22">
        <v>1.0</v>
      </c>
      <c r="D27" s="22">
        <v>2.0</v>
      </c>
      <c r="E27" s="23"/>
      <c r="F27" s="22">
        <v>2.0</v>
      </c>
      <c r="G27" s="22">
        <v>2.0</v>
      </c>
      <c r="H27" s="22">
        <v>2.0</v>
      </c>
      <c r="I27" s="22">
        <v>1.0</v>
      </c>
      <c r="J27" s="22">
        <v>1.0</v>
      </c>
      <c r="K27" s="22">
        <v>2.0</v>
      </c>
      <c r="L27" s="22">
        <v>2.0</v>
      </c>
      <c r="M27" s="22">
        <v>2.0</v>
      </c>
      <c r="N27" s="22">
        <v>2.0</v>
      </c>
      <c r="O27" s="22">
        <v>2.0</v>
      </c>
      <c r="P27" s="22">
        <v>2.0</v>
      </c>
      <c r="Q27" s="22">
        <v>2.0</v>
      </c>
      <c r="R27" s="22">
        <v>2.0</v>
      </c>
      <c r="S27" s="22">
        <v>2.0</v>
      </c>
      <c r="T27" s="22">
        <v>2.0</v>
      </c>
      <c r="U27" s="22">
        <v>2.0</v>
      </c>
      <c r="V27" s="22">
        <v>2.0</v>
      </c>
      <c r="W27" s="22">
        <v>2.0</v>
      </c>
      <c r="X27" s="23"/>
      <c r="Y27" s="23"/>
    </row>
    <row r="28">
      <c r="A28" s="21" t="s">
        <v>208</v>
      </c>
      <c r="B28" s="22">
        <v>2.0</v>
      </c>
      <c r="C28" s="22">
        <v>2.0</v>
      </c>
      <c r="D28" s="22">
        <v>2.0</v>
      </c>
      <c r="E28" s="23"/>
      <c r="F28" s="22">
        <v>2.0</v>
      </c>
      <c r="G28" s="22">
        <v>2.0</v>
      </c>
      <c r="H28" s="22">
        <v>0.0</v>
      </c>
      <c r="I28" s="22">
        <v>0.0</v>
      </c>
      <c r="J28" s="22">
        <v>0.0</v>
      </c>
      <c r="K28" s="22">
        <v>2.0</v>
      </c>
      <c r="L28" s="22">
        <v>2.0</v>
      </c>
      <c r="M28" s="22">
        <v>2.0</v>
      </c>
      <c r="N28" s="22">
        <v>2.0</v>
      </c>
      <c r="O28" s="22">
        <v>2.0</v>
      </c>
      <c r="P28" s="22">
        <v>2.0</v>
      </c>
      <c r="Q28" s="22">
        <v>2.0</v>
      </c>
      <c r="R28" s="22">
        <v>2.0</v>
      </c>
      <c r="S28" s="22">
        <v>2.0</v>
      </c>
      <c r="T28" s="22">
        <v>2.0</v>
      </c>
      <c r="U28" s="22">
        <v>2.0</v>
      </c>
      <c r="V28" s="22">
        <v>2.0</v>
      </c>
      <c r="W28" s="22">
        <v>2.0</v>
      </c>
      <c r="X28" s="23"/>
      <c r="Y28" s="23"/>
    </row>
    <row r="29">
      <c r="A29" s="26" t="s">
        <v>209</v>
      </c>
      <c r="B29" s="22">
        <v>2.0</v>
      </c>
      <c r="C29" s="22">
        <v>2.0</v>
      </c>
      <c r="D29" s="22">
        <v>2.0</v>
      </c>
      <c r="E29" s="23"/>
      <c r="F29" s="22">
        <v>2.0</v>
      </c>
      <c r="G29" s="22">
        <v>1.0</v>
      </c>
      <c r="H29" s="22">
        <v>0.0</v>
      </c>
      <c r="I29" s="22">
        <v>0.0</v>
      </c>
      <c r="J29" s="22">
        <v>2.0</v>
      </c>
      <c r="K29" s="22">
        <v>2.0</v>
      </c>
      <c r="L29" s="22">
        <v>2.0</v>
      </c>
      <c r="M29" s="22">
        <v>1.0</v>
      </c>
      <c r="N29" s="22">
        <v>2.0</v>
      </c>
      <c r="O29" s="22">
        <v>2.0</v>
      </c>
      <c r="P29" s="22">
        <v>2.0</v>
      </c>
      <c r="Q29" s="22">
        <v>1.0</v>
      </c>
      <c r="R29" s="22">
        <v>2.0</v>
      </c>
      <c r="S29" s="22">
        <v>1.0</v>
      </c>
      <c r="T29" s="22">
        <v>2.0</v>
      </c>
      <c r="U29" s="22">
        <v>1.0</v>
      </c>
      <c r="V29" s="22">
        <v>0.0</v>
      </c>
      <c r="W29" s="22">
        <v>2.0</v>
      </c>
      <c r="X29" s="23"/>
      <c r="Y29" s="23"/>
    </row>
    <row r="30">
      <c r="A30" s="26" t="s">
        <v>210</v>
      </c>
      <c r="B30" s="22">
        <v>1.0</v>
      </c>
      <c r="C30" s="22">
        <v>2.0</v>
      </c>
      <c r="D30" s="22">
        <v>2.0</v>
      </c>
      <c r="E30" s="23"/>
      <c r="F30" s="22">
        <v>2.0</v>
      </c>
      <c r="G30" s="22">
        <v>2.0</v>
      </c>
      <c r="H30" s="22">
        <v>2.0</v>
      </c>
      <c r="I30" s="22">
        <v>0.0</v>
      </c>
      <c r="J30" s="22">
        <v>1.0</v>
      </c>
      <c r="K30" s="22">
        <v>2.0</v>
      </c>
      <c r="L30" s="22">
        <v>2.0</v>
      </c>
      <c r="M30" s="22">
        <v>2.0</v>
      </c>
      <c r="N30" s="22">
        <v>2.0</v>
      </c>
      <c r="O30" s="22">
        <v>2.0</v>
      </c>
      <c r="P30" s="22">
        <v>2.0</v>
      </c>
      <c r="Q30" s="22">
        <v>2.0</v>
      </c>
      <c r="R30" s="22">
        <v>2.0</v>
      </c>
      <c r="S30" s="22">
        <v>0.0</v>
      </c>
      <c r="T30" s="22">
        <v>1.0</v>
      </c>
      <c r="U30" s="22">
        <v>2.0</v>
      </c>
      <c r="V30" s="22">
        <v>2.0</v>
      </c>
      <c r="W30" s="22">
        <v>0.0</v>
      </c>
      <c r="X30" s="25"/>
      <c r="Y30" s="25"/>
    </row>
    <row r="31">
      <c r="A31" s="26" t="s">
        <v>211</v>
      </c>
      <c r="B31" s="22">
        <v>2.0</v>
      </c>
      <c r="C31" s="22">
        <v>2.0</v>
      </c>
      <c r="D31" s="22">
        <v>2.0</v>
      </c>
      <c r="E31" s="23"/>
      <c r="F31" s="22">
        <v>2.0</v>
      </c>
      <c r="G31" s="22">
        <v>2.0</v>
      </c>
      <c r="H31" s="22">
        <v>2.0</v>
      </c>
      <c r="I31" s="22">
        <v>1.0</v>
      </c>
      <c r="J31" s="22">
        <v>1.0</v>
      </c>
      <c r="K31" s="22">
        <v>2.0</v>
      </c>
      <c r="L31" s="22">
        <v>2.0</v>
      </c>
      <c r="M31" s="22">
        <v>2.0</v>
      </c>
      <c r="N31" s="22">
        <v>2.0</v>
      </c>
      <c r="O31" s="22">
        <v>2.0</v>
      </c>
      <c r="P31" s="22">
        <v>2.0</v>
      </c>
      <c r="Q31" s="22">
        <v>2.0</v>
      </c>
      <c r="R31" s="22">
        <v>2.0</v>
      </c>
      <c r="S31" s="22">
        <v>2.0</v>
      </c>
      <c r="T31" s="22">
        <v>1.0</v>
      </c>
      <c r="U31" s="22">
        <v>2.0</v>
      </c>
      <c r="V31" s="22">
        <v>2.0</v>
      </c>
      <c r="W31" s="22">
        <v>2.0</v>
      </c>
      <c r="X31" s="23"/>
      <c r="Y31" s="23"/>
    </row>
    <row r="32">
      <c r="A32" s="24" t="s">
        <v>212</v>
      </c>
      <c r="B32" s="22">
        <v>2.0</v>
      </c>
      <c r="C32" s="22">
        <v>2.0</v>
      </c>
      <c r="D32" s="22">
        <v>2.0</v>
      </c>
      <c r="E32" s="23"/>
      <c r="F32" s="22">
        <v>2.0</v>
      </c>
      <c r="G32" s="22">
        <v>2.0</v>
      </c>
      <c r="H32" s="22">
        <v>1.0</v>
      </c>
      <c r="I32" s="22">
        <v>2.0</v>
      </c>
      <c r="J32" s="22">
        <v>1.0</v>
      </c>
      <c r="K32" s="22">
        <v>2.0</v>
      </c>
      <c r="L32" s="22">
        <v>2.0</v>
      </c>
      <c r="M32" s="22">
        <v>1.0</v>
      </c>
      <c r="N32" s="22">
        <v>2.0</v>
      </c>
      <c r="O32" s="22">
        <v>2.0</v>
      </c>
      <c r="P32" s="22">
        <v>2.0</v>
      </c>
      <c r="Q32" s="22">
        <v>2.0</v>
      </c>
      <c r="R32" s="22">
        <v>1.0</v>
      </c>
      <c r="S32" s="22">
        <v>2.0</v>
      </c>
      <c r="T32" s="22">
        <v>2.0</v>
      </c>
      <c r="U32" s="22">
        <v>2.0</v>
      </c>
      <c r="V32" s="22">
        <v>2.0</v>
      </c>
      <c r="W32" s="22">
        <v>2.0</v>
      </c>
      <c r="X32" s="23"/>
      <c r="Y32" s="23"/>
    </row>
    <row r="33">
      <c r="A33" s="24" t="s">
        <v>213</v>
      </c>
      <c r="B33" s="22">
        <v>2.0</v>
      </c>
      <c r="C33" s="22">
        <v>2.0</v>
      </c>
      <c r="D33" s="22">
        <v>2.0</v>
      </c>
      <c r="E33" s="23"/>
      <c r="F33" s="22">
        <v>2.0</v>
      </c>
      <c r="G33" s="22">
        <v>0.0</v>
      </c>
      <c r="H33" s="22">
        <v>2.0</v>
      </c>
      <c r="I33" s="22">
        <v>2.0</v>
      </c>
      <c r="J33" s="22">
        <v>0.0</v>
      </c>
      <c r="K33" s="22">
        <v>2.0</v>
      </c>
      <c r="L33" s="22">
        <v>2.0</v>
      </c>
      <c r="M33" s="22">
        <v>2.0</v>
      </c>
      <c r="N33" s="22">
        <v>2.0</v>
      </c>
      <c r="O33" s="22">
        <v>2.0</v>
      </c>
      <c r="P33" s="22">
        <v>2.0</v>
      </c>
      <c r="Q33" s="22">
        <v>2.0</v>
      </c>
      <c r="R33" s="22">
        <v>2.0</v>
      </c>
      <c r="S33" s="22">
        <v>0.0</v>
      </c>
      <c r="T33" s="22">
        <v>2.0</v>
      </c>
      <c r="U33" s="22">
        <v>2.0</v>
      </c>
      <c r="V33" s="22">
        <v>2.0</v>
      </c>
      <c r="W33" s="22">
        <v>2.0</v>
      </c>
      <c r="X33" s="23"/>
      <c r="Y33" s="23"/>
    </row>
    <row r="34">
      <c r="A34" s="26" t="s">
        <v>97</v>
      </c>
      <c r="B34" s="22">
        <v>1.0</v>
      </c>
      <c r="C34" s="22">
        <v>1.0</v>
      </c>
      <c r="D34" s="22">
        <v>2.0</v>
      </c>
      <c r="E34" s="23"/>
      <c r="F34" s="22">
        <v>2.0</v>
      </c>
      <c r="G34" s="22">
        <v>2.0</v>
      </c>
      <c r="H34" s="22">
        <v>2.0</v>
      </c>
      <c r="I34" s="22">
        <v>0.0</v>
      </c>
      <c r="J34" s="22">
        <v>2.0</v>
      </c>
      <c r="K34" s="22">
        <v>0.0</v>
      </c>
      <c r="L34" s="22">
        <v>2.0</v>
      </c>
      <c r="M34" s="22">
        <v>2.0</v>
      </c>
      <c r="N34" s="22">
        <v>2.0</v>
      </c>
      <c r="O34" s="22">
        <v>1.0</v>
      </c>
      <c r="P34" s="22">
        <v>2.0</v>
      </c>
      <c r="Q34" s="22">
        <v>2.0</v>
      </c>
      <c r="R34" s="22">
        <v>1.0</v>
      </c>
      <c r="S34" s="22">
        <v>2.0</v>
      </c>
      <c r="T34" s="22">
        <v>2.0</v>
      </c>
      <c r="U34" s="22">
        <v>2.0</v>
      </c>
      <c r="V34" s="22">
        <v>2.0</v>
      </c>
      <c r="W34" s="22">
        <v>2.0</v>
      </c>
      <c r="X34" s="23"/>
      <c r="Y34" s="23"/>
    </row>
    <row r="35">
      <c r="A35" s="26" t="s">
        <v>214</v>
      </c>
      <c r="B35" s="22">
        <v>2.0</v>
      </c>
      <c r="C35" s="22">
        <v>2.0</v>
      </c>
      <c r="D35" s="22">
        <v>2.0</v>
      </c>
      <c r="E35" s="23"/>
      <c r="F35" s="22">
        <v>2.0</v>
      </c>
      <c r="G35" s="22">
        <v>2.0</v>
      </c>
      <c r="H35" s="22">
        <v>0.0</v>
      </c>
      <c r="I35" s="22">
        <v>0.0</v>
      </c>
      <c r="J35" s="22">
        <v>2.0</v>
      </c>
      <c r="K35" s="22">
        <v>2.0</v>
      </c>
      <c r="L35" s="22">
        <v>0.0</v>
      </c>
      <c r="M35" s="22">
        <v>2.0</v>
      </c>
      <c r="N35" s="22">
        <v>0.0</v>
      </c>
      <c r="O35" s="22">
        <v>1.0</v>
      </c>
      <c r="P35" s="22">
        <v>0.0</v>
      </c>
      <c r="Q35" s="22">
        <v>1.0</v>
      </c>
      <c r="R35" s="22">
        <v>2.0</v>
      </c>
      <c r="S35" s="22">
        <v>0.0</v>
      </c>
      <c r="T35" s="22">
        <v>0.0</v>
      </c>
      <c r="U35" s="22">
        <v>2.0</v>
      </c>
      <c r="V35" s="22">
        <v>0.0</v>
      </c>
      <c r="W35" s="22">
        <v>2.0</v>
      </c>
      <c r="X35" s="23"/>
      <c r="Y35" s="23"/>
    </row>
    <row r="36">
      <c r="A36" s="24" t="s">
        <v>215</v>
      </c>
      <c r="B36" s="22">
        <v>2.0</v>
      </c>
      <c r="C36" s="22">
        <v>2.0</v>
      </c>
      <c r="D36" s="22">
        <v>2.0</v>
      </c>
      <c r="E36" s="23"/>
      <c r="F36" s="22">
        <v>2.0</v>
      </c>
      <c r="G36" s="22">
        <v>2.0</v>
      </c>
      <c r="H36" s="22">
        <v>2.0</v>
      </c>
      <c r="I36" s="22">
        <v>1.0</v>
      </c>
      <c r="J36" s="22">
        <v>1.0</v>
      </c>
      <c r="K36" s="22">
        <v>2.0</v>
      </c>
      <c r="L36" s="22">
        <v>2.0</v>
      </c>
      <c r="M36" s="22">
        <v>2.0</v>
      </c>
      <c r="N36" s="22">
        <v>2.0</v>
      </c>
      <c r="O36" s="22">
        <v>2.0</v>
      </c>
      <c r="P36" s="22">
        <v>2.0</v>
      </c>
      <c r="Q36" s="22">
        <v>2.0</v>
      </c>
      <c r="R36" s="22">
        <v>1.0</v>
      </c>
      <c r="S36" s="22">
        <v>2.0</v>
      </c>
      <c r="T36" s="22">
        <v>2.0</v>
      </c>
      <c r="U36" s="22">
        <v>2.0</v>
      </c>
      <c r="V36" s="22">
        <v>2.0</v>
      </c>
      <c r="W36" s="22">
        <v>2.0</v>
      </c>
      <c r="X36" s="23"/>
      <c r="Y36" s="23"/>
    </row>
    <row r="37">
      <c r="A37" s="26" t="s">
        <v>216</v>
      </c>
      <c r="B37" s="22">
        <v>1.0</v>
      </c>
      <c r="C37" s="22">
        <v>2.0</v>
      </c>
      <c r="D37" s="22">
        <v>2.0</v>
      </c>
      <c r="E37" s="22">
        <v>1.0</v>
      </c>
      <c r="F37" s="22">
        <v>2.0</v>
      </c>
      <c r="G37" s="22">
        <v>2.0</v>
      </c>
      <c r="H37" s="22">
        <v>2.0</v>
      </c>
      <c r="I37" s="22">
        <v>2.0</v>
      </c>
      <c r="J37" s="22">
        <v>1.0</v>
      </c>
      <c r="K37" s="22">
        <v>1.0</v>
      </c>
      <c r="L37" s="22">
        <v>2.0</v>
      </c>
      <c r="M37" s="22">
        <v>2.0</v>
      </c>
      <c r="N37" s="22">
        <v>2.0</v>
      </c>
      <c r="O37" s="22">
        <v>2.0</v>
      </c>
      <c r="P37" s="22">
        <v>2.0</v>
      </c>
      <c r="Q37" s="22">
        <v>2.0</v>
      </c>
      <c r="R37" s="22">
        <v>2.0</v>
      </c>
      <c r="S37" s="22">
        <v>2.0</v>
      </c>
      <c r="T37" s="22">
        <v>2.0</v>
      </c>
      <c r="U37" s="22">
        <v>2.0</v>
      </c>
      <c r="V37" s="22">
        <v>2.0</v>
      </c>
      <c r="W37" s="22">
        <v>2.0</v>
      </c>
      <c r="X37" s="23"/>
      <c r="Y37" s="23"/>
    </row>
    <row r="38">
      <c r="A38" s="26" t="s">
        <v>217</v>
      </c>
      <c r="B38" s="22">
        <v>2.0</v>
      </c>
      <c r="C38" s="22">
        <v>2.0</v>
      </c>
      <c r="D38" s="22">
        <v>2.0</v>
      </c>
      <c r="E38" s="23"/>
      <c r="F38" s="22">
        <v>2.0</v>
      </c>
      <c r="G38" s="22">
        <v>2.0</v>
      </c>
      <c r="H38" s="22">
        <v>0.0</v>
      </c>
      <c r="I38" s="22">
        <v>2.0</v>
      </c>
      <c r="J38" s="22">
        <v>0.0</v>
      </c>
      <c r="K38" s="22">
        <v>2.0</v>
      </c>
      <c r="L38" s="22">
        <v>2.0</v>
      </c>
      <c r="M38" s="22">
        <v>2.0</v>
      </c>
      <c r="N38" s="22">
        <v>2.0</v>
      </c>
      <c r="O38" s="22">
        <v>2.0</v>
      </c>
      <c r="P38" s="22">
        <v>2.0</v>
      </c>
      <c r="Q38" s="22">
        <v>2.0</v>
      </c>
      <c r="R38" s="22">
        <v>2.0</v>
      </c>
      <c r="S38" s="22">
        <v>0.0</v>
      </c>
      <c r="T38" s="22">
        <v>2.0</v>
      </c>
      <c r="U38" s="22">
        <v>2.0</v>
      </c>
      <c r="V38" s="22">
        <v>2.0</v>
      </c>
      <c r="W38" s="22">
        <v>2.0</v>
      </c>
      <c r="X38" s="23"/>
      <c r="Y38" s="23"/>
    </row>
    <row r="39">
      <c r="A39" s="26" t="s">
        <v>218</v>
      </c>
      <c r="B39" s="22">
        <v>2.0</v>
      </c>
      <c r="C39" s="22">
        <v>2.0</v>
      </c>
      <c r="D39" s="22">
        <v>2.0</v>
      </c>
      <c r="E39" s="22">
        <v>1.0</v>
      </c>
      <c r="F39" s="22">
        <v>2.0</v>
      </c>
      <c r="G39" s="22">
        <v>1.0</v>
      </c>
      <c r="H39" s="22">
        <v>2.0</v>
      </c>
      <c r="I39" s="22">
        <v>2.0</v>
      </c>
      <c r="J39" s="22">
        <v>0.0</v>
      </c>
      <c r="K39" s="22">
        <v>2.0</v>
      </c>
      <c r="L39" s="22">
        <v>2.0</v>
      </c>
      <c r="M39" s="22">
        <v>2.0</v>
      </c>
      <c r="N39" s="22">
        <v>2.0</v>
      </c>
      <c r="O39" s="22">
        <v>2.0</v>
      </c>
      <c r="P39" s="22">
        <v>2.0</v>
      </c>
      <c r="Q39" s="22">
        <v>2.0</v>
      </c>
      <c r="R39" s="22">
        <v>2.0</v>
      </c>
      <c r="S39" s="22">
        <v>2.0</v>
      </c>
      <c r="T39" s="22">
        <v>2.0</v>
      </c>
      <c r="U39" s="22">
        <v>2.0</v>
      </c>
      <c r="V39" s="22">
        <v>2.0</v>
      </c>
      <c r="W39" s="22">
        <v>1.0</v>
      </c>
      <c r="X39" s="25"/>
      <c r="Y39" s="25"/>
    </row>
    <row r="40">
      <c r="A40" s="26" t="s">
        <v>219</v>
      </c>
      <c r="B40" s="22">
        <v>2.0</v>
      </c>
      <c r="C40" s="22">
        <v>0.0</v>
      </c>
      <c r="D40" s="22">
        <v>2.0</v>
      </c>
      <c r="E40" s="23"/>
      <c r="F40" s="22">
        <v>2.0</v>
      </c>
      <c r="G40" s="22">
        <v>2.0</v>
      </c>
      <c r="H40" s="22">
        <v>2.0</v>
      </c>
      <c r="I40" s="22">
        <v>2.0</v>
      </c>
      <c r="J40" s="22">
        <v>2.0</v>
      </c>
      <c r="K40" s="22">
        <v>2.0</v>
      </c>
      <c r="L40" s="22">
        <v>2.0</v>
      </c>
      <c r="M40" s="22">
        <v>2.0</v>
      </c>
      <c r="N40" s="22">
        <v>2.0</v>
      </c>
      <c r="O40" s="22">
        <v>2.0</v>
      </c>
      <c r="P40" s="22">
        <v>1.0</v>
      </c>
      <c r="Q40" s="22">
        <v>1.0</v>
      </c>
      <c r="R40" s="22">
        <v>2.0</v>
      </c>
      <c r="S40" s="22">
        <v>2.0</v>
      </c>
      <c r="T40" s="22">
        <v>2.0</v>
      </c>
      <c r="U40" s="22">
        <v>2.0</v>
      </c>
      <c r="V40" s="22">
        <v>2.0</v>
      </c>
      <c r="W40" s="22">
        <v>1.0</v>
      </c>
      <c r="X40" s="25"/>
      <c r="Y40" s="25"/>
    </row>
    <row r="41">
      <c r="A41" s="26" t="s">
        <v>220</v>
      </c>
      <c r="B41" s="22">
        <v>2.0</v>
      </c>
      <c r="C41" s="22">
        <v>2.0</v>
      </c>
      <c r="D41" s="22">
        <v>2.0</v>
      </c>
      <c r="E41" s="23"/>
      <c r="F41" s="22">
        <v>2.0</v>
      </c>
      <c r="G41" s="22">
        <v>2.0</v>
      </c>
      <c r="H41" s="22">
        <v>0.0</v>
      </c>
      <c r="I41" s="22">
        <v>0.0</v>
      </c>
      <c r="J41" s="22">
        <v>2.0</v>
      </c>
      <c r="K41" s="22">
        <v>2.0</v>
      </c>
      <c r="L41" s="22">
        <v>0.0</v>
      </c>
      <c r="M41" s="22">
        <v>2.0</v>
      </c>
      <c r="N41" s="22">
        <v>0.0</v>
      </c>
      <c r="O41" s="22">
        <v>0.0</v>
      </c>
      <c r="P41" s="22">
        <v>0.0</v>
      </c>
      <c r="Q41" s="22">
        <v>2.0</v>
      </c>
      <c r="R41" s="22">
        <v>2.0</v>
      </c>
      <c r="S41" s="22">
        <v>0.0</v>
      </c>
      <c r="T41" s="22">
        <v>0.0</v>
      </c>
      <c r="U41" s="22">
        <v>2.0</v>
      </c>
      <c r="V41" s="22">
        <v>0.0</v>
      </c>
      <c r="W41" s="22">
        <v>0.0</v>
      </c>
      <c r="X41" s="25"/>
      <c r="Y41" s="25"/>
    </row>
    <row r="42">
      <c r="A42" s="24" t="s">
        <v>221</v>
      </c>
      <c r="B42" s="22">
        <v>2.0</v>
      </c>
      <c r="C42" s="22">
        <v>2.0</v>
      </c>
      <c r="D42" s="22">
        <v>2.0</v>
      </c>
      <c r="E42" s="23"/>
      <c r="F42" s="22">
        <v>2.0</v>
      </c>
      <c r="G42" s="22">
        <v>2.0</v>
      </c>
      <c r="H42" s="22">
        <v>2.0</v>
      </c>
      <c r="I42" s="22">
        <v>2.0</v>
      </c>
      <c r="J42" s="22">
        <v>2.0</v>
      </c>
      <c r="K42" s="22">
        <v>2.0</v>
      </c>
      <c r="L42" s="22">
        <v>2.0</v>
      </c>
      <c r="M42" s="22">
        <v>2.0</v>
      </c>
      <c r="N42" s="22">
        <v>0.0</v>
      </c>
      <c r="O42" s="22">
        <v>2.0</v>
      </c>
      <c r="P42" s="22">
        <v>0.0</v>
      </c>
      <c r="Q42" s="22">
        <v>0.0</v>
      </c>
      <c r="R42" s="22">
        <v>2.0</v>
      </c>
      <c r="S42" s="22">
        <v>2.0</v>
      </c>
      <c r="T42" s="22">
        <v>2.0</v>
      </c>
      <c r="U42" s="22">
        <v>2.0</v>
      </c>
      <c r="V42" s="22">
        <v>2.0</v>
      </c>
      <c r="W42" s="22">
        <v>2.0</v>
      </c>
      <c r="X42" s="23"/>
      <c r="Y42" s="23"/>
    </row>
    <row r="43">
      <c r="A43" s="27" t="s">
        <v>222</v>
      </c>
      <c r="B43" s="22">
        <v>2.0</v>
      </c>
      <c r="C43" s="22">
        <v>2.0</v>
      </c>
      <c r="D43" s="22">
        <v>2.0</v>
      </c>
      <c r="E43" s="23"/>
      <c r="F43" s="22">
        <v>2.0</v>
      </c>
      <c r="G43" s="22">
        <v>0.0</v>
      </c>
      <c r="H43" s="22">
        <v>0.0</v>
      </c>
      <c r="I43" s="22">
        <v>0.0</v>
      </c>
      <c r="J43" s="22">
        <v>2.0</v>
      </c>
      <c r="K43" s="22">
        <v>1.0</v>
      </c>
      <c r="L43" s="22">
        <v>0.0</v>
      </c>
      <c r="M43" s="22">
        <v>0.0</v>
      </c>
      <c r="N43" s="22">
        <v>0.0</v>
      </c>
      <c r="O43" s="22">
        <v>2.0</v>
      </c>
      <c r="P43" s="22">
        <v>0.0</v>
      </c>
      <c r="Q43" s="22">
        <v>2.0</v>
      </c>
      <c r="R43" s="22">
        <v>2.0</v>
      </c>
      <c r="S43" s="22">
        <v>2.0</v>
      </c>
      <c r="T43" s="22">
        <v>0.0</v>
      </c>
      <c r="U43" s="22">
        <v>0.0</v>
      </c>
      <c r="V43" s="22">
        <v>0.0</v>
      </c>
      <c r="W43" s="22">
        <v>0.0</v>
      </c>
      <c r="X43" s="25"/>
      <c r="Y43" s="25"/>
    </row>
    <row r="44">
      <c r="A44" s="27" t="s">
        <v>223</v>
      </c>
      <c r="B44" s="22">
        <v>2.0</v>
      </c>
      <c r="C44" s="22">
        <v>2.0</v>
      </c>
      <c r="D44" s="22">
        <v>2.0</v>
      </c>
      <c r="E44" s="23"/>
      <c r="F44" s="22">
        <v>2.0</v>
      </c>
      <c r="G44" s="22">
        <v>2.0</v>
      </c>
      <c r="H44" s="22">
        <v>0.0</v>
      </c>
      <c r="I44" s="22">
        <v>0.0</v>
      </c>
      <c r="J44" s="22">
        <v>2.0</v>
      </c>
      <c r="K44" s="22">
        <v>2.0</v>
      </c>
      <c r="L44" s="22">
        <v>2.0</v>
      </c>
      <c r="M44" s="22">
        <v>2.0</v>
      </c>
      <c r="N44" s="22">
        <v>2.0</v>
      </c>
      <c r="O44" s="22">
        <v>0.0</v>
      </c>
      <c r="P44" s="22">
        <v>2.0</v>
      </c>
      <c r="Q44" s="22">
        <v>2.0</v>
      </c>
      <c r="R44" s="22">
        <v>2.0</v>
      </c>
      <c r="S44" s="22">
        <v>2.0</v>
      </c>
      <c r="T44" s="22">
        <v>2.0</v>
      </c>
      <c r="U44" s="22">
        <v>2.0</v>
      </c>
      <c r="V44" s="22">
        <v>2.0</v>
      </c>
      <c r="W44" s="22">
        <v>2.0</v>
      </c>
      <c r="X44" s="23"/>
      <c r="Y44" s="23"/>
    </row>
    <row r="45">
      <c r="A45" s="28" t="s">
        <v>224</v>
      </c>
      <c r="B45" s="22">
        <v>2.0</v>
      </c>
      <c r="C45" s="22">
        <v>2.0</v>
      </c>
      <c r="D45" s="22">
        <v>2.0</v>
      </c>
      <c r="E45" s="23"/>
      <c r="F45" s="22">
        <v>2.0</v>
      </c>
      <c r="G45" s="22">
        <v>2.0</v>
      </c>
      <c r="H45" s="22">
        <v>0.0</v>
      </c>
      <c r="I45" s="22">
        <v>2.0</v>
      </c>
      <c r="J45" s="22">
        <v>0.0</v>
      </c>
      <c r="K45" s="22">
        <v>2.0</v>
      </c>
      <c r="L45" s="22">
        <v>0.0</v>
      </c>
      <c r="M45" s="22">
        <v>2.0</v>
      </c>
      <c r="N45" s="22">
        <v>2.0</v>
      </c>
      <c r="O45" s="22">
        <v>0.0</v>
      </c>
      <c r="P45" s="22">
        <v>2.0</v>
      </c>
      <c r="Q45" s="22">
        <v>2.0</v>
      </c>
      <c r="R45" s="22">
        <v>2.0</v>
      </c>
      <c r="S45" s="22">
        <v>0.0</v>
      </c>
      <c r="T45" s="22">
        <v>0.0</v>
      </c>
      <c r="U45" s="22">
        <v>2.0</v>
      </c>
      <c r="V45" s="22">
        <v>2.0</v>
      </c>
      <c r="W45" s="22">
        <v>2.0</v>
      </c>
      <c r="X45" s="23"/>
      <c r="Y45" s="23"/>
    </row>
    <row r="46">
      <c r="A46" s="28" t="s">
        <v>225</v>
      </c>
      <c r="B46" s="22">
        <v>1.0</v>
      </c>
      <c r="C46" s="22">
        <v>2.0</v>
      </c>
      <c r="D46" s="22">
        <v>2.0</v>
      </c>
      <c r="E46" s="23"/>
      <c r="F46" s="22">
        <v>2.0</v>
      </c>
      <c r="G46" s="22">
        <v>2.0</v>
      </c>
      <c r="H46" s="22">
        <v>2.0</v>
      </c>
      <c r="I46" s="22">
        <v>2.0</v>
      </c>
      <c r="J46" s="22">
        <v>2.0</v>
      </c>
      <c r="K46" s="22">
        <v>2.0</v>
      </c>
      <c r="L46" s="22">
        <v>2.0</v>
      </c>
      <c r="M46" s="22">
        <v>2.0</v>
      </c>
      <c r="N46" s="22">
        <v>2.0</v>
      </c>
      <c r="O46" s="22">
        <v>0.0</v>
      </c>
      <c r="P46" s="22">
        <v>2.0</v>
      </c>
      <c r="Q46" s="22">
        <v>2.0</v>
      </c>
      <c r="R46" s="22">
        <v>2.0</v>
      </c>
      <c r="S46" s="22">
        <v>2.0</v>
      </c>
      <c r="T46" s="22">
        <v>0.0</v>
      </c>
      <c r="U46" s="22">
        <v>2.0</v>
      </c>
      <c r="V46" s="22">
        <v>2.0</v>
      </c>
      <c r="W46" s="22">
        <v>0.0</v>
      </c>
      <c r="X46" s="25"/>
      <c r="Y46" s="25"/>
    </row>
    <row r="47">
      <c r="A47" s="27" t="s">
        <v>226</v>
      </c>
      <c r="B47" s="22">
        <v>2.0</v>
      </c>
      <c r="C47" s="22">
        <v>2.0</v>
      </c>
      <c r="D47" s="22">
        <v>2.0</v>
      </c>
      <c r="E47" s="23"/>
      <c r="F47" s="22">
        <v>2.0</v>
      </c>
      <c r="G47" s="22">
        <v>0.0</v>
      </c>
      <c r="H47" s="22">
        <v>0.0</v>
      </c>
      <c r="I47" s="22">
        <v>0.0</v>
      </c>
      <c r="J47" s="22">
        <v>2.0</v>
      </c>
      <c r="K47" s="22">
        <v>2.0</v>
      </c>
      <c r="L47" s="22">
        <v>2.0</v>
      </c>
      <c r="M47" s="22">
        <v>2.0</v>
      </c>
      <c r="N47" s="22">
        <v>2.0</v>
      </c>
      <c r="O47" s="22">
        <v>0.0</v>
      </c>
      <c r="P47" s="22">
        <v>2.0</v>
      </c>
      <c r="Q47" s="22">
        <v>2.0</v>
      </c>
      <c r="R47" s="22">
        <v>2.0</v>
      </c>
      <c r="S47" s="22">
        <v>0.0</v>
      </c>
      <c r="T47" s="22">
        <v>0.0</v>
      </c>
      <c r="U47" s="22">
        <v>2.0</v>
      </c>
      <c r="V47" s="22">
        <v>2.0</v>
      </c>
      <c r="W47" s="22">
        <v>2.0</v>
      </c>
      <c r="X47" s="23"/>
      <c r="Y47" s="23"/>
    </row>
    <row r="48">
      <c r="A48" s="27" t="s">
        <v>227</v>
      </c>
      <c r="B48" s="22">
        <v>2.0</v>
      </c>
      <c r="C48" s="22">
        <v>2.0</v>
      </c>
      <c r="D48" s="22">
        <v>2.0</v>
      </c>
      <c r="E48" s="22">
        <v>1.0</v>
      </c>
      <c r="F48" s="22">
        <v>2.0</v>
      </c>
      <c r="G48" s="22">
        <v>2.0</v>
      </c>
      <c r="H48" s="22">
        <v>2.0</v>
      </c>
      <c r="I48" s="22">
        <v>2.0</v>
      </c>
      <c r="J48" s="22">
        <v>2.0</v>
      </c>
      <c r="K48" s="22">
        <v>2.0</v>
      </c>
      <c r="L48" s="22">
        <v>2.0</v>
      </c>
      <c r="M48" s="22">
        <v>2.0</v>
      </c>
      <c r="N48" s="22">
        <v>1.0</v>
      </c>
      <c r="O48" s="22">
        <v>2.0</v>
      </c>
      <c r="P48" s="22">
        <v>1.0</v>
      </c>
      <c r="Q48" s="22">
        <v>2.0</v>
      </c>
      <c r="R48" s="22">
        <v>2.0</v>
      </c>
      <c r="S48" s="22">
        <v>0.0</v>
      </c>
      <c r="T48" s="22">
        <v>1.0</v>
      </c>
      <c r="U48" s="22">
        <v>0.0</v>
      </c>
      <c r="V48" s="22">
        <v>2.0</v>
      </c>
      <c r="W48" s="22">
        <v>2.0</v>
      </c>
      <c r="X48" s="23"/>
      <c r="Y48" s="23"/>
    </row>
    <row r="49">
      <c r="A49" s="28" t="s">
        <v>228</v>
      </c>
      <c r="B49" s="22">
        <v>2.0</v>
      </c>
      <c r="C49" s="22">
        <v>2.0</v>
      </c>
      <c r="D49" s="22">
        <v>2.0</v>
      </c>
      <c r="E49" s="22">
        <v>1.0</v>
      </c>
      <c r="F49" s="22">
        <v>2.0</v>
      </c>
      <c r="G49" s="22">
        <v>1.0</v>
      </c>
      <c r="H49" s="22">
        <v>2.0</v>
      </c>
      <c r="I49" s="22">
        <v>1.0</v>
      </c>
      <c r="J49" s="22">
        <v>2.0</v>
      </c>
      <c r="K49" s="22">
        <v>2.0</v>
      </c>
      <c r="L49" s="22">
        <v>2.0</v>
      </c>
      <c r="M49" s="22">
        <v>1.0</v>
      </c>
      <c r="N49" s="22">
        <v>2.0</v>
      </c>
      <c r="O49" s="22">
        <v>2.0</v>
      </c>
      <c r="P49" s="22">
        <v>2.0</v>
      </c>
      <c r="Q49" s="22">
        <v>1.0</v>
      </c>
      <c r="R49" s="22">
        <v>1.0</v>
      </c>
      <c r="S49" s="22">
        <v>2.0</v>
      </c>
      <c r="T49" s="22">
        <v>1.0</v>
      </c>
      <c r="U49" s="22">
        <v>2.0</v>
      </c>
      <c r="V49" s="22">
        <v>2.0</v>
      </c>
      <c r="W49" s="22">
        <v>2.0</v>
      </c>
      <c r="X49" s="23"/>
      <c r="Y49" s="23"/>
    </row>
    <row r="50">
      <c r="A50" s="27" t="s">
        <v>229</v>
      </c>
      <c r="B50" s="22">
        <v>1.0</v>
      </c>
      <c r="C50" s="22">
        <v>2.0</v>
      </c>
      <c r="D50" s="22">
        <v>2.0</v>
      </c>
      <c r="E50" s="23"/>
      <c r="F50" s="22">
        <v>2.0</v>
      </c>
      <c r="G50" s="22">
        <v>2.0</v>
      </c>
      <c r="H50" s="22">
        <v>0.0</v>
      </c>
      <c r="I50" s="22">
        <v>0.0</v>
      </c>
      <c r="J50" s="22">
        <v>1.0</v>
      </c>
      <c r="K50" s="22">
        <v>2.0</v>
      </c>
      <c r="L50" s="22">
        <v>2.0</v>
      </c>
      <c r="M50" s="22">
        <v>0.0</v>
      </c>
      <c r="N50" s="22">
        <v>0.0</v>
      </c>
      <c r="O50" s="22">
        <v>1.0</v>
      </c>
      <c r="P50" s="22">
        <v>2.0</v>
      </c>
      <c r="Q50" s="22">
        <v>1.0</v>
      </c>
      <c r="R50" s="22">
        <v>1.0</v>
      </c>
      <c r="S50" s="22">
        <v>1.0</v>
      </c>
      <c r="T50" s="22">
        <v>2.0</v>
      </c>
      <c r="U50" s="22">
        <v>0.0</v>
      </c>
      <c r="V50" s="22">
        <v>2.0</v>
      </c>
      <c r="W50" s="22">
        <v>2.0</v>
      </c>
      <c r="X50" s="23"/>
      <c r="Y50" s="23"/>
    </row>
    <row r="51">
      <c r="A51" s="27" t="s">
        <v>230</v>
      </c>
      <c r="B51" s="22">
        <v>2.0</v>
      </c>
      <c r="C51" s="22">
        <v>2.0</v>
      </c>
      <c r="D51" s="22">
        <v>1.0</v>
      </c>
      <c r="E51" s="23"/>
      <c r="F51" s="22">
        <v>2.0</v>
      </c>
      <c r="G51" s="22">
        <v>2.0</v>
      </c>
      <c r="H51" s="22">
        <v>2.0</v>
      </c>
      <c r="I51" s="22">
        <v>2.0</v>
      </c>
      <c r="J51" s="22">
        <v>2.0</v>
      </c>
      <c r="K51" s="22">
        <v>1.0</v>
      </c>
      <c r="L51" s="22">
        <v>2.0</v>
      </c>
      <c r="M51" s="22">
        <v>0.0</v>
      </c>
      <c r="N51" s="22">
        <v>0.0</v>
      </c>
      <c r="O51" s="22">
        <v>2.0</v>
      </c>
      <c r="P51" s="22">
        <v>2.0</v>
      </c>
      <c r="Q51" s="22">
        <v>2.0</v>
      </c>
      <c r="R51" s="22">
        <v>2.0</v>
      </c>
      <c r="S51" s="22">
        <v>0.0</v>
      </c>
      <c r="T51" s="22">
        <v>2.0</v>
      </c>
      <c r="U51" s="22">
        <v>2.0</v>
      </c>
      <c r="V51" s="22">
        <v>0.0</v>
      </c>
      <c r="W51" s="22">
        <v>0.0</v>
      </c>
      <c r="X51" s="25"/>
      <c r="Y51" s="25"/>
    </row>
    <row r="52">
      <c r="A52" s="27" t="s">
        <v>231</v>
      </c>
      <c r="B52" s="22">
        <v>2.0</v>
      </c>
      <c r="C52" s="22">
        <v>2.0</v>
      </c>
      <c r="D52" s="22">
        <v>2.0</v>
      </c>
      <c r="E52" s="23"/>
      <c r="F52" s="22">
        <v>2.0</v>
      </c>
      <c r="G52" s="22">
        <v>2.0</v>
      </c>
      <c r="H52" s="22">
        <v>1.0</v>
      </c>
      <c r="I52" s="22">
        <v>2.0</v>
      </c>
      <c r="J52" s="22">
        <v>1.0</v>
      </c>
      <c r="K52" s="22">
        <v>2.0</v>
      </c>
      <c r="L52" s="22">
        <v>2.0</v>
      </c>
      <c r="M52" s="22">
        <v>0.0</v>
      </c>
      <c r="N52" s="22">
        <v>2.0</v>
      </c>
      <c r="O52" s="22">
        <v>2.0</v>
      </c>
      <c r="P52" s="22">
        <v>2.0</v>
      </c>
      <c r="Q52" s="22">
        <v>2.0</v>
      </c>
      <c r="R52" s="22">
        <v>1.0</v>
      </c>
      <c r="S52" s="22">
        <v>2.0</v>
      </c>
      <c r="T52" s="22">
        <v>2.0</v>
      </c>
      <c r="U52" s="22">
        <v>2.0</v>
      </c>
      <c r="V52" s="22">
        <v>2.0</v>
      </c>
      <c r="W52" s="22">
        <v>2.0</v>
      </c>
      <c r="X52" s="23"/>
      <c r="Y52" s="23"/>
    </row>
    <row r="53">
      <c r="A53" s="27" t="s">
        <v>232</v>
      </c>
      <c r="B53" s="22">
        <v>2.0</v>
      </c>
      <c r="C53" s="22">
        <v>2.0</v>
      </c>
      <c r="D53" s="22">
        <v>2.0</v>
      </c>
      <c r="E53" s="22">
        <v>1.0</v>
      </c>
      <c r="F53" s="22">
        <v>2.0</v>
      </c>
      <c r="G53" s="22">
        <v>2.0</v>
      </c>
      <c r="H53" s="22">
        <v>2.0</v>
      </c>
      <c r="I53" s="22">
        <v>2.0</v>
      </c>
      <c r="J53" s="22">
        <v>2.0</v>
      </c>
      <c r="K53" s="22">
        <v>2.0</v>
      </c>
      <c r="L53" s="22">
        <v>2.0</v>
      </c>
      <c r="M53" s="22">
        <v>2.0</v>
      </c>
      <c r="N53" s="22">
        <v>2.0</v>
      </c>
      <c r="O53" s="22">
        <v>2.0</v>
      </c>
      <c r="P53" s="22">
        <v>2.0</v>
      </c>
      <c r="Q53" s="22">
        <v>1.0</v>
      </c>
      <c r="R53" s="22">
        <v>2.0</v>
      </c>
      <c r="S53" s="22">
        <v>2.0</v>
      </c>
      <c r="T53" s="22">
        <v>1.0</v>
      </c>
      <c r="U53" s="22">
        <v>2.0</v>
      </c>
      <c r="V53" s="22">
        <v>2.0</v>
      </c>
      <c r="W53" s="22">
        <v>2.0</v>
      </c>
      <c r="X53" s="23"/>
      <c r="Y53" s="23"/>
    </row>
    <row r="54">
      <c r="A54" s="27" t="s">
        <v>233</v>
      </c>
      <c r="B54" s="22">
        <v>1.0</v>
      </c>
      <c r="C54" s="22">
        <v>2.0</v>
      </c>
      <c r="D54" s="22">
        <v>1.0</v>
      </c>
      <c r="E54" s="23"/>
      <c r="F54" s="22">
        <v>2.0</v>
      </c>
      <c r="G54" s="22">
        <v>2.0</v>
      </c>
      <c r="H54" s="22">
        <v>0.0</v>
      </c>
      <c r="I54" s="22">
        <v>0.0</v>
      </c>
      <c r="J54" s="22">
        <v>2.0</v>
      </c>
      <c r="K54" s="22">
        <v>2.0</v>
      </c>
      <c r="L54" s="22">
        <v>2.0</v>
      </c>
      <c r="M54" s="22">
        <v>2.0</v>
      </c>
      <c r="N54" s="22">
        <v>2.0</v>
      </c>
      <c r="O54" s="22">
        <v>2.0</v>
      </c>
      <c r="P54" s="22">
        <v>2.0</v>
      </c>
      <c r="Q54" s="22">
        <v>1.0</v>
      </c>
      <c r="R54" s="22">
        <v>2.0</v>
      </c>
      <c r="S54" s="22">
        <v>2.0</v>
      </c>
      <c r="T54" s="22">
        <v>2.0</v>
      </c>
      <c r="U54" s="22">
        <v>2.0</v>
      </c>
      <c r="V54" s="22">
        <v>2.0</v>
      </c>
      <c r="W54" s="22">
        <v>2.0</v>
      </c>
      <c r="X54" s="23"/>
      <c r="Y54" s="23"/>
    </row>
    <row r="55">
      <c r="A55" s="27" t="s">
        <v>234</v>
      </c>
      <c r="B55" s="22">
        <v>1.0</v>
      </c>
      <c r="C55" s="22">
        <v>1.0</v>
      </c>
      <c r="D55" s="22">
        <v>1.0</v>
      </c>
      <c r="E55" s="22">
        <v>1.0</v>
      </c>
      <c r="F55" s="22">
        <v>1.0</v>
      </c>
      <c r="G55" s="22">
        <v>1.0</v>
      </c>
      <c r="H55" s="22">
        <v>1.0</v>
      </c>
      <c r="I55" s="22">
        <v>1.0</v>
      </c>
      <c r="J55" s="22">
        <v>1.0</v>
      </c>
      <c r="K55" s="22">
        <v>1.0</v>
      </c>
      <c r="L55" s="22">
        <v>2.0</v>
      </c>
      <c r="M55" s="22">
        <v>0.0</v>
      </c>
      <c r="N55" s="22">
        <v>2.0</v>
      </c>
      <c r="O55" s="22">
        <v>2.0</v>
      </c>
      <c r="P55" s="22">
        <v>2.0</v>
      </c>
      <c r="Q55" s="22">
        <v>2.0</v>
      </c>
      <c r="R55" s="22">
        <v>1.0</v>
      </c>
      <c r="S55" s="22">
        <v>0.0</v>
      </c>
      <c r="T55" s="22">
        <v>2.0</v>
      </c>
      <c r="U55" s="22">
        <v>0.0</v>
      </c>
      <c r="V55" s="22">
        <v>2.0</v>
      </c>
      <c r="W55" s="22">
        <v>2.0</v>
      </c>
      <c r="X55" s="23"/>
      <c r="Y55" s="23"/>
    </row>
    <row r="56">
      <c r="A56" s="27" t="s">
        <v>235</v>
      </c>
      <c r="B56" s="22">
        <v>2.0</v>
      </c>
      <c r="C56" s="22">
        <v>2.0</v>
      </c>
      <c r="D56" s="22">
        <v>2.0</v>
      </c>
      <c r="E56" s="23"/>
      <c r="F56" s="22">
        <v>2.0</v>
      </c>
      <c r="G56" s="22">
        <v>2.0</v>
      </c>
      <c r="H56" s="22">
        <v>0.0</v>
      </c>
      <c r="I56" s="22">
        <v>0.0</v>
      </c>
      <c r="J56" s="22">
        <v>0.0</v>
      </c>
      <c r="K56" s="22">
        <v>2.0</v>
      </c>
      <c r="L56" s="22">
        <v>2.0</v>
      </c>
      <c r="M56" s="22">
        <v>0.0</v>
      </c>
      <c r="N56" s="22">
        <v>0.0</v>
      </c>
      <c r="O56" s="22">
        <v>0.0</v>
      </c>
      <c r="P56" s="22">
        <v>0.0</v>
      </c>
      <c r="Q56" s="22">
        <v>2.0</v>
      </c>
      <c r="R56" s="22">
        <v>2.0</v>
      </c>
      <c r="S56" s="22">
        <v>2.0</v>
      </c>
      <c r="T56" s="22">
        <v>0.0</v>
      </c>
      <c r="U56" s="22">
        <v>2.0</v>
      </c>
      <c r="V56" s="22">
        <v>0.0</v>
      </c>
      <c r="W56" s="22">
        <v>2.0</v>
      </c>
      <c r="X56" s="23"/>
      <c r="Y56" s="23"/>
    </row>
    <row r="57">
      <c r="A57" s="27" t="s">
        <v>236</v>
      </c>
      <c r="B57" s="22">
        <v>2.0</v>
      </c>
      <c r="C57" s="22">
        <v>2.0</v>
      </c>
      <c r="D57" s="22">
        <v>2.0</v>
      </c>
      <c r="E57" s="23"/>
      <c r="F57" s="22">
        <v>2.0</v>
      </c>
      <c r="G57" s="22">
        <v>1.0</v>
      </c>
      <c r="H57" s="22">
        <v>1.0</v>
      </c>
      <c r="I57" s="22">
        <v>2.0</v>
      </c>
      <c r="J57" s="22">
        <v>1.0</v>
      </c>
      <c r="K57" s="22">
        <v>2.0</v>
      </c>
      <c r="L57" s="22">
        <v>2.0</v>
      </c>
      <c r="M57" s="22">
        <v>1.0</v>
      </c>
      <c r="N57" s="22">
        <v>2.0</v>
      </c>
      <c r="O57" s="22">
        <v>1.0</v>
      </c>
      <c r="P57" s="22">
        <v>2.0</v>
      </c>
      <c r="Q57" s="22">
        <v>1.0</v>
      </c>
      <c r="R57" s="22">
        <v>1.0</v>
      </c>
      <c r="S57" s="22">
        <v>1.0</v>
      </c>
      <c r="T57" s="22">
        <v>2.0</v>
      </c>
      <c r="U57" s="22">
        <v>2.0</v>
      </c>
      <c r="V57" s="22">
        <v>2.0</v>
      </c>
      <c r="W57" s="22">
        <v>2.0</v>
      </c>
      <c r="X57" s="23"/>
      <c r="Y57" s="23"/>
    </row>
    <row r="58">
      <c r="A58" s="27" t="s">
        <v>237</v>
      </c>
      <c r="B58" s="22">
        <v>1.0</v>
      </c>
      <c r="C58" s="22">
        <v>2.0</v>
      </c>
      <c r="D58" s="22">
        <v>2.0</v>
      </c>
      <c r="E58" s="23"/>
      <c r="F58" s="22">
        <v>2.0</v>
      </c>
      <c r="G58" s="22">
        <v>2.0</v>
      </c>
      <c r="H58" s="22">
        <v>0.0</v>
      </c>
      <c r="I58" s="22">
        <v>0.0</v>
      </c>
      <c r="J58" s="22">
        <v>0.0</v>
      </c>
      <c r="K58" s="22">
        <v>2.0</v>
      </c>
      <c r="L58" s="22">
        <v>2.0</v>
      </c>
      <c r="M58" s="22">
        <v>2.0</v>
      </c>
      <c r="N58" s="22">
        <v>1.0</v>
      </c>
      <c r="O58" s="22">
        <v>0.0</v>
      </c>
      <c r="P58" s="22">
        <v>2.0</v>
      </c>
      <c r="Q58" s="22">
        <v>0.0</v>
      </c>
      <c r="R58" s="22">
        <v>2.0</v>
      </c>
      <c r="S58" s="22">
        <v>2.0</v>
      </c>
      <c r="T58" s="22">
        <v>2.0</v>
      </c>
      <c r="U58" s="22">
        <v>0.0</v>
      </c>
      <c r="V58" s="22">
        <v>2.0</v>
      </c>
      <c r="W58" s="22">
        <v>2.0</v>
      </c>
      <c r="X58" s="23"/>
      <c r="Y58" s="23"/>
    </row>
    <row r="59">
      <c r="A59" s="27" t="s">
        <v>238</v>
      </c>
      <c r="B59" s="22">
        <v>2.0</v>
      </c>
      <c r="C59" s="22">
        <v>2.0</v>
      </c>
      <c r="D59" s="22">
        <v>2.0</v>
      </c>
      <c r="E59" s="23"/>
      <c r="F59" s="22">
        <v>2.0</v>
      </c>
      <c r="G59" s="22">
        <v>2.0</v>
      </c>
      <c r="H59" s="22">
        <v>2.0</v>
      </c>
      <c r="I59" s="22">
        <v>1.0</v>
      </c>
      <c r="J59" s="22">
        <v>2.0</v>
      </c>
      <c r="K59" s="22">
        <v>1.0</v>
      </c>
      <c r="L59" s="22">
        <v>2.0</v>
      </c>
      <c r="M59" s="22">
        <v>0.0</v>
      </c>
      <c r="N59" s="22">
        <v>2.0</v>
      </c>
      <c r="O59" s="22">
        <v>1.0</v>
      </c>
      <c r="P59" s="22">
        <v>2.0</v>
      </c>
      <c r="Q59" s="22">
        <v>1.0</v>
      </c>
      <c r="R59" s="22">
        <v>1.0</v>
      </c>
      <c r="S59" s="22">
        <v>2.0</v>
      </c>
      <c r="T59" s="22">
        <v>1.0</v>
      </c>
      <c r="U59" s="22">
        <v>2.0</v>
      </c>
      <c r="V59" s="22">
        <v>2.0</v>
      </c>
      <c r="W59" s="22">
        <v>2.0</v>
      </c>
      <c r="X59" s="23"/>
      <c r="Y59" s="23"/>
    </row>
    <row r="60">
      <c r="A60" s="27" t="s">
        <v>239</v>
      </c>
      <c r="B60" s="22">
        <v>2.0</v>
      </c>
      <c r="C60" s="22">
        <v>2.0</v>
      </c>
      <c r="D60" s="22">
        <v>2.0</v>
      </c>
      <c r="E60" s="23"/>
      <c r="F60" s="22">
        <v>2.0</v>
      </c>
      <c r="G60" s="22">
        <v>2.0</v>
      </c>
      <c r="H60" s="22">
        <v>0.0</v>
      </c>
      <c r="I60" s="22">
        <v>1.0</v>
      </c>
      <c r="J60" s="22">
        <v>1.0</v>
      </c>
      <c r="K60" s="22">
        <v>1.0</v>
      </c>
      <c r="L60" s="22">
        <v>2.0</v>
      </c>
      <c r="M60" s="22">
        <v>2.0</v>
      </c>
      <c r="N60" s="22">
        <v>2.0</v>
      </c>
      <c r="O60" s="22">
        <v>2.0</v>
      </c>
      <c r="P60" s="22">
        <v>2.0</v>
      </c>
      <c r="Q60" s="22">
        <v>2.0</v>
      </c>
      <c r="R60" s="22">
        <v>1.0</v>
      </c>
      <c r="S60" s="22">
        <v>2.0</v>
      </c>
      <c r="T60" s="22">
        <v>2.0</v>
      </c>
      <c r="U60" s="22">
        <v>0.0</v>
      </c>
      <c r="V60" s="22">
        <v>2.0</v>
      </c>
      <c r="W60" s="22">
        <v>2.0</v>
      </c>
      <c r="X60" s="23"/>
      <c r="Y60" s="23"/>
    </row>
    <row r="61">
      <c r="A61" s="27" t="s">
        <v>240</v>
      </c>
      <c r="B61" s="22">
        <v>2.0</v>
      </c>
      <c r="C61" s="22">
        <v>2.0</v>
      </c>
      <c r="D61" s="22">
        <v>2.0</v>
      </c>
      <c r="E61" s="22">
        <v>1.0</v>
      </c>
      <c r="F61" s="22">
        <v>2.0</v>
      </c>
      <c r="G61" s="22">
        <v>2.0</v>
      </c>
      <c r="H61" s="22">
        <v>0.0</v>
      </c>
      <c r="I61" s="22">
        <v>2.0</v>
      </c>
      <c r="J61" s="22">
        <v>2.0</v>
      </c>
      <c r="K61" s="22">
        <v>1.0</v>
      </c>
      <c r="L61" s="22">
        <v>2.0</v>
      </c>
      <c r="M61" s="22">
        <v>0.0</v>
      </c>
      <c r="N61" s="22">
        <v>0.0</v>
      </c>
      <c r="O61" s="22">
        <v>2.0</v>
      </c>
      <c r="P61" s="22">
        <v>2.0</v>
      </c>
      <c r="Q61" s="22">
        <v>2.0</v>
      </c>
      <c r="R61" s="22">
        <v>2.0</v>
      </c>
      <c r="S61" s="22">
        <v>2.0</v>
      </c>
      <c r="T61" s="22">
        <v>0.0</v>
      </c>
      <c r="U61" s="22">
        <v>0.0</v>
      </c>
      <c r="V61" s="22">
        <v>2.0</v>
      </c>
      <c r="W61" s="22">
        <v>0.0</v>
      </c>
      <c r="X61" s="25"/>
      <c r="Y61" s="25"/>
    </row>
    <row r="62">
      <c r="A62" s="27" t="s">
        <v>241</v>
      </c>
      <c r="B62" s="22">
        <v>2.0</v>
      </c>
      <c r="C62" s="22">
        <v>2.0</v>
      </c>
      <c r="D62" s="22">
        <v>2.0</v>
      </c>
      <c r="E62" s="23"/>
      <c r="F62" s="22">
        <v>2.0</v>
      </c>
      <c r="G62" s="22">
        <v>2.0</v>
      </c>
      <c r="H62" s="22">
        <v>2.0</v>
      </c>
      <c r="I62" s="22">
        <v>2.0</v>
      </c>
      <c r="J62" s="22">
        <v>0.0</v>
      </c>
      <c r="K62" s="22">
        <v>2.0</v>
      </c>
      <c r="L62" s="22">
        <v>2.0</v>
      </c>
      <c r="M62" s="22">
        <v>2.0</v>
      </c>
      <c r="N62" s="22">
        <v>2.0</v>
      </c>
      <c r="O62" s="22">
        <v>2.0</v>
      </c>
      <c r="P62" s="22">
        <v>2.0</v>
      </c>
      <c r="Q62" s="22">
        <v>2.0</v>
      </c>
      <c r="R62" s="22">
        <v>2.0</v>
      </c>
      <c r="S62" s="22">
        <v>0.0</v>
      </c>
      <c r="T62" s="22">
        <v>0.0</v>
      </c>
      <c r="U62" s="22">
        <v>2.0</v>
      </c>
      <c r="V62" s="22">
        <v>2.0</v>
      </c>
      <c r="W62" s="22">
        <v>2.0</v>
      </c>
      <c r="X62" s="23"/>
      <c r="Y62" s="23"/>
    </row>
    <row r="63">
      <c r="A63" s="27" t="s">
        <v>242</v>
      </c>
      <c r="B63" s="22">
        <v>2.0</v>
      </c>
      <c r="C63" s="22">
        <v>2.0</v>
      </c>
      <c r="D63" s="22">
        <v>2.0</v>
      </c>
      <c r="E63" s="23"/>
      <c r="F63" s="22">
        <v>1.0</v>
      </c>
      <c r="G63" s="22">
        <v>2.0</v>
      </c>
      <c r="H63" s="22">
        <v>0.0</v>
      </c>
      <c r="I63" s="22">
        <v>1.0</v>
      </c>
      <c r="J63" s="22">
        <v>2.0</v>
      </c>
      <c r="K63" s="22">
        <v>2.0</v>
      </c>
      <c r="L63" s="22">
        <v>2.0</v>
      </c>
      <c r="M63" s="22">
        <v>0.0</v>
      </c>
      <c r="N63" s="22">
        <v>0.0</v>
      </c>
      <c r="O63" s="22">
        <v>0.0</v>
      </c>
      <c r="P63" s="22">
        <v>2.0</v>
      </c>
      <c r="Q63" s="22">
        <v>2.0</v>
      </c>
      <c r="R63" s="22">
        <v>2.0</v>
      </c>
      <c r="S63" s="22">
        <v>2.0</v>
      </c>
      <c r="T63" s="22">
        <v>1.0</v>
      </c>
      <c r="U63" s="22">
        <v>0.0</v>
      </c>
      <c r="V63" s="22">
        <v>2.0</v>
      </c>
      <c r="W63" s="22">
        <v>0.0</v>
      </c>
      <c r="X63" s="25"/>
      <c r="Y63" s="25"/>
    </row>
    <row r="64">
      <c r="A64" s="27" t="s">
        <v>243</v>
      </c>
      <c r="B64" s="22">
        <v>2.0</v>
      </c>
      <c r="C64" s="22">
        <v>2.0</v>
      </c>
      <c r="D64" s="22">
        <v>2.0</v>
      </c>
      <c r="E64" s="23"/>
      <c r="F64" s="22">
        <v>2.0</v>
      </c>
      <c r="G64" s="22">
        <v>2.0</v>
      </c>
      <c r="H64" s="22">
        <v>2.0</v>
      </c>
      <c r="I64" s="22">
        <v>0.0</v>
      </c>
      <c r="J64" s="22">
        <v>2.0</v>
      </c>
      <c r="K64" s="22">
        <v>2.0</v>
      </c>
      <c r="L64" s="22">
        <v>2.0</v>
      </c>
      <c r="M64" s="22">
        <v>1.0</v>
      </c>
      <c r="N64" s="22">
        <v>1.0</v>
      </c>
      <c r="O64" s="22">
        <v>1.0</v>
      </c>
      <c r="P64" s="22">
        <v>1.0</v>
      </c>
      <c r="Q64" s="22">
        <v>1.0</v>
      </c>
      <c r="R64" s="22">
        <v>1.0</v>
      </c>
      <c r="S64" s="22">
        <v>1.0</v>
      </c>
      <c r="T64" s="22">
        <v>1.0</v>
      </c>
      <c r="U64" s="22">
        <v>2.0</v>
      </c>
      <c r="V64" s="22">
        <v>2.0</v>
      </c>
      <c r="W64" s="22">
        <v>2.0</v>
      </c>
      <c r="X64" s="23"/>
      <c r="Y64" s="23"/>
    </row>
    <row r="65">
      <c r="A65" s="28" t="s">
        <v>244</v>
      </c>
      <c r="B65" s="22">
        <v>2.0</v>
      </c>
      <c r="C65" s="22">
        <v>2.0</v>
      </c>
      <c r="D65" s="22">
        <v>2.0</v>
      </c>
      <c r="E65" s="23"/>
      <c r="F65" s="22">
        <v>2.0</v>
      </c>
      <c r="G65" s="22">
        <v>2.0</v>
      </c>
      <c r="H65" s="22">
        <v>2.0</v>
      </c>
      <c r="I65" s="22">
        <v>2.0</v>
      </c>
      <c r="J65" s="22">
        <v>0.0</v>
      </c>
      <c r="K65" s="22">
        <v>2.0</v>
      </c>
      <c r="L65" s="22">
        <v>2.0</v>
      </c>
      <c r="M65" s="22">
        <v>2.0</v>
      </c>
      <c r="N65" s="22">
        <v>2.0</v>
      </c>
      <c r="O65" s="22">
        <v>2.0</v>
      </c>
      <c r="P65" s="22">
        <v>2.0</v>
      </c>
      <c r="Q65" s="22">
        <v>2.0</v>
      </c>
      <c r="R65" s="22">
        <v>2.0</v>
      </c>
      <c r="S65" s="22">
        <v>0.0</v>
      </c>
      <c r="T65" s="22">
        <v>2.0</v>
      </c>
      <c r="U65" s="22">
        <v>2.0</v>
      </c>
      <c r="V65" s="22">
        <v>2.0</v>
      </c>
      <c r="W65" s="22">
        <v>0.0</v>
      </c>
      <c r="X65" s="25"/>
      <c r="Y65" s="25"/>
    </row>
    <row r="66">
      <c r="A66" s="27" t="s">
        <v>245</v>
      </c>
      <c r="B66" s="22">
        <v>2.0</v>
      </c>
      <c r="C66" s="22">
        <v>2.0</v>
      </c>
      <c r="D66" s="22">
        <v>2.0</v>
      </c>
      <c r="E66" s="23"/>
      <c r="F66" s="22">
        <v>2.0</v>
      </c>
      <c r="G66" s="22">
        <v>2.0</v>
      </c>
      <c r="H66" s="22">
        <v>2.0</v>
      </c>
      <c r="I66" s="22">
        <v>2.0</v>
      </c>
      <c r="J66" s="22">
        <v>2.0</v>
      </c>
      <c r="K66" s="22">
        <v>2.0</v>
      </c>
      <c r="L66" s="22">
        <v>2.0</v>
      </c>
      <c r="M66" s="22">
        <v>2.0</v>
      </c>
      <c r="N66" s="22">
        <v>1.0</v>
      </c>
      <c r="O66" s="22">
        <v>2.0</v>
      </c>
      <c r="P66" s="22">
        <v>2.0</v>
      </c>
      <c r="Q66" s="22">
        <v>1.0</v>
      </c>
      <c r="R66" s="22">
        <v>2.0</v>
      </c>
      <c r="S66" s="22">
        <v>1.0</v>
      </c>
      <c r="T66" s="22">
        <v>1.0</v>
      </c>
      <c r="U66" s="22">
        <v>2.0</v>
      </c>
      <c r="V66" s="22">
        <v>2.0</v>
      </c>
      <c r="W66" s="22">
        <v>2.0</v>
      </c>
      <c r="X66" s="23"/>
      <c r="Y66" s="23"/>
    </row>
    <row r="67">
      <c r="A67" s="27" t="s">
        <v>246</v>
      </c>
      <c r="B67" s="22">
        <v>2.0</v>
      </c>
      <c r="C67" s="22">
        <v>2.0</v>
      </c>
      <c r="D67" s="22">
        <v>1.0</v>
      </c>
      <c r="E67" s="23"/>
      <c r="F67" s="22">
        <v>2.0</v>
      </c>
      <c r="G67" s="22">
        <v>2.0</v>
      </c>
      <c r="H67" s="22">
        <v>2.0</v>
      </c>
      <c r="I67" s="22">
        <v>2.0</v>
      </c>
      <c r="J67" s="22">
        <v>1.0</v>
      </c>
      <c r="K67" s="22">
        <v>2.0</v>
      </c>
      <c r="L67" s="22">
        <v>2.0</v>
      </c>
      <c r="M67" s="22">
        <v>2.0</v>
      </c>
      <c r="N67" s="22">
        <v>2.0</v>
      </c>
      <c r="O67" s="22">
        <v>1.0</v>
      </c>
      <c r="P67" s="22">
        <v>1.0</v>
      </c>
      <c r="Q67" s="22">
        <v>2.0</v>
      </c>
      <c r="R67" s="22">
        <v>2.0</v>
      </c>
      <c r="S67" s="22">
        <v>2.0</v>
      </c>
      <c r="T67" s="22">
        <v>2.0</v>
      </c>
      <c r="U67" s="22">
        <v>2.0</v>
      </c>
      <c r="V67" s="22">
        <v>2.0</v>
      </c>
      <c r="W67" s="22">
        <v>2.0</v>
      </c>
      <c r="X67" s="23"/>
      <c r="Y67" s="23"/>
    </row>
    <row r="68">
      <c r="A68" s="27" t="s">
        <v>247</v>
      </c>
      <c r="B68" s="22">
        <v>2.0</v>
      </c>
      <c r="C68" s="22">
        <v>2.0</v>
      </c>
      <c r="D68" s="22">
        <v>2.0</v>
      </c>
      <c r="E68" s="23"/>
      <c r="F68" s="22">
        <v>2.0</v>
      </c>
      <c r="G68" s="22">
        <v>2.0</v>
      </c>
      <c r="H68" s="22">
        <v>2.0</v>
      </c>
      <c r="I68" s="22">
        <v>2.0</v>
      </c>
      <c r="J68" s="22">
        <v>0.0</v>
      </c>
      <c r="K68" s="22">
        <v>2.0</v>
      </c>
      <c r="L68" s="22">
        <v>2.0</v>
      </c>
      <c r="M68" s="22">
        <v>2.0</v>
      </c>
      <c r="N68" s="22">
        <v>2.0</v>
      </c>
      <c r="O68" s="22">
        <v>2.0</v>
      </c>
      <c r="P68" s="22">
        <v>1.0</v>
      </c>
      <c r="Q68" s="22">
        <v>1.0</v>
      </c>
      <c r="R68" s="22">
        <v>2.0</v>
      </c>
      <c r="S68" s="22">
        <v>2.0</v>
      </c>
      <c r="T68" s="22">
        <v>2.0</v>
      </c>
      <c r="U68" s="22">
        <v>2.0</v>
      </c>
      <c r="V68" s="22">
        <v>1.0</v>
      </c>
      <c r="W68" s="22">
        <v>1.0</v>
      </c>
      <c r="X68" s="25"/>
      <c r="Y68" s="25"/>
    </row>
    <row r="69">
      <c r="A69" s="27" t="s">
        <v>248</v>
      </c>
      <c r="B69" s="22">
        <v>2.0</v>
      </c>
      <c r="C69" s="22">
        <v>0.0</v>
      </c>
      <c r="D69" s="22">
        <v>2.0</v>
      </c>
      <c r="E69" s="22">
        <v>0.0</v>
      </c>
      <c r="F69" s="22">
        <v>2.0</v>
      </c>
      <c r="G69" s="22">
        <v>2.0</v>
      </c>
      <c r="H69" s="22">
        <v>0.0</v>
      </c>
      <c r="I69" s="22">
        <v>0.0</v>
      </c>
      <c r="J69" s="22">
        <v>2.0</v>
      </c>
      <c r="K69" s="22">
        <v>0.0</v>
      </c>
      <c r="L69" s="22">
        <v>2.0</v>
      </c>
      <c r="M69" s="22">
        <v>2.0</v>
      </c>
      <c r="N69" s="22">
        <v>2.0</v>
      </c>
      <c r="O69" s="22">
        <v>0.0</v>
      </c>
      <c r="P69" s="22">
        <v>2.0</v>
      </c>
      <c r="Q69" s="22">
        <v>2.0</v>
      </c>
      <c r="R69" s="22">
        <v>2.0</v>
      </c>
      <c r="S69" s="22">
        <v>2.0</v>
      </c>
      <c r="T69" s="22">
        <v>2.0</v>
      </c>
      <c r="U69" s="22">
        <v>2.0</v>
      </c>
      <c r="V69" s="22">
        <v>0.0</v>
      </c>
      <c r="W69" s="22">
        <v>2.0</v>
      </c>
      <c r="X69" s="23"/>
      <c r="Y69" s="23"/>
    </row>
    <row r="70">
      <c r="A70" s="27" t="s">
        <v>249</v>
      </c>
      <c r="B70" s="22">
        <v>2.0</v>
      </c>
      <c r="C70" s="22">
        <v>2.0</v>
      </c>
      <c r="D70" s="22">
        <v>2.0</v>
      </c>
      <c r="E70" s="23"/>
      <c r="F70" s="22">
        <v>2.0</v>
      </c>
      <c r="G70" s="22">
        <v>2.0</v>
      </c>
      <c r="H70" s="22">
        <v>0.0</v>
      </c>
      <c r="I70" s="22">
        <v>2.0</v>
      </c>
      <c r="J70" s="22">
        <v>2.0</v>
      </c>
      <c r="K70" s="22">
        <v>2.0</v>
      </c>
      <c r="L70" s="22">
        <v>0.0</v>
      </c>
      <c r="M70" s="22">
        <v>2.0</v>
      </c>
      <c r="N70" s="22">
        <v>2.0</v>
      </c>
      <c r="O70" s="22">
        <v>0.0</v>
      </c>
      <c r="P70" s="22">
        <v>2.0</v>
      </c>
      <c r="Q70" s="22">
        <v>1.0</v>
      </c>
      <c r="R70" s="22">
        <v>2.0</v>
      </c>
      <c r="S70" s="22">
        <v>2.0</v>
      </c>
      <c r="T70" s="22">
        <v>2.0</v>
      </c>
      <c r="U70" s="22">
        <v>0.0</v>
      </c>
      <c r="V70" s="22">
        <v>2.0</v>
      </c>
      <c r="W70" s="22">
        <v>0.0</v>
      </c>
      <c r="X70" s="25"/>
      <c r="Y70" s="25"/>
    </row>
    <row r="71">
      <c r="A71" s="27" t="s">
        <v>250</v>
      </c>
      <c r="B71" s="22">
        <v>2.0</v>
      </c>
      <c r="C71" s="22">
        <v>2.0</v>
      </c>
      <c r="D71" s="22">
        <v>2.0</v>
      </c>
      <c r="E71" s="23"/>
      <c r="F71" s="22">
        <v>2.0</v>
      </c>
      <c r="G71" s="22">
        <v>2.0</v>
      </c>
      <c r="H71" s="22">
        <v>2.0</v>
      </c>
      <c r="I71" s="22">
        <v>2.0</v>
      </c>
      <c r="J71" s="22">
        <v>0.0</v>
      </c>
      <c r="K71" s="22">
        <v>2.0</v>
      </c>
      <c r="L71" s="22">
        <v>2.0</v>
      </c>
      <c r="M71" s="22">
        <v>2.0</v>
      </c>
      <c r="N71" s="22">
        <v>2.0</v>
      </c>
      <c r="O71" s="22">
        <v>0.0</v>
      </c>
      <c r="P71" s="22">
        <v>0.0</v>
      </c>
      <c r="Q71" s="22">
        <v>2.0</v>
      </c>
      <c r="R71" s="22">
        <v>2.0</v>
      </c>
      <c r="S71" s="22">
        <v>2.0</v>
      </c>
      <c r="T71" s="22">
        <v>2.0</v>
      </c>
      <c r="U71" s="22">
        <v>2.0</v>
      </c>
      <c r="V71" s="22">
        <v>2.0</v>
      </c>
      <c r="W71" s="22">
        <v>2.0</v>
      </c>
      <c r="X71" s="23"/>
      <c r="Y71" s="23"/>
    </row>
    <row r="72">
      <c r="A72" s="27" t="s">
        <v>251</v>
      </c>
      <c r="B72" s="22">
        <v>2.0</v>
      </c>
      <c r="C72" s="22">
        <v>2.0</v>
      </c>
      <c r="D72" s="22">
        <v>2.0</v>
      </c>
      <c r="E72" s="23"/>
      <c r="F72" s="22">
        <v>2.0</v>
      </c>
      <c r="G72" s="22">
        <v>0.0</v>
      </c>
      <c r="H72" s="22">
        <v>0.0</v>
      </c>
      <c r="I72" s="22">
        <v>2.0</v>
      </c>
      <c r="J72" s="22">
        <v>2.0</v>
      </c>
      <c r="K72" s="22">
        <v>1.0</v>
      </c>
      <c r="L72" s="22">
        <v>2.0</v>
      </c>
      <c r="M72" s="22">
        <v>2.0</v>
      </c>
      <c r="N72" s="22">
        <v>0.0</v>
      </c>
      <c r="O72" s="22">
        <v>0.0</v>
      </c>
      <c r="P72" s="22">
        <v>2.0</v>
      </c>
      <c r="Q72" s="22">
        <v>2.0</v>
      </c>
      <c r="R72" s="22">
        <v>2.0</v>
      </c>
      <c r="S72" s="22">
        <v>0.0</v>
      </c>
      <c r="T72" s="22">
        <v>1.0</v>
      </c>
      <c r="U72" s="22">
        <v>0.0</v>
      </c>
      <c r="V72" s="22">
        <v>2.0</v>
      </c>
      <c r="W72" s="22">
        <v>0.0</v>
      </c>
      <c r="X72" s="25"/>
      <c r="Y72" s="25"/>
    </row>
    <row r="73">
      <c r="A73" s="27" t="s">
        <v>252</v>
      </c>
      <c r="B73" s="22">
        <v>2.0</v>
      </c>
      <c r="C73" s="22">
        <v>2.0</v>
      </c>
      <c r="D73" s="22">
        <v>0.0</v>
      </c>
      <c r="E73" s="23"/>
      <c r="F73" s="22">
        <v>0.0</v>
      </c>
      <c r="G73" s="22">
        <v>2.0</v>
      </c>
      <c r="H73" s="22">
        <v>0.0</v>
      </c>
      <c r="I73" s="22">
        <v>0.0</v>
      </c>
      <c r="J73" s="22">
        <v>2.0</v>
      </c>
      <c r="K73" s="22">
        <v>2.0</v>
      </c>
      <c r="L73" s="22">
        <v>0.0</v>
      </c>
      <c r="M73" s="22">
        <v>2.0</v>
      </c>
      <c r="N73" s="22">
        <v>1.0</v>
      </c>
      <c r="O73" s="22">
        <v>1.0</v>
      </c>
      <c r="P73" s="22">
        <v>1.0</v>
      </c>
      <c r="Q73" s="22">
        <v>1.0</v>
      </c>
      <c r="R73" s="22">
        <v>1.0</v>
      </c>
      <c r="S73" s="22">
        <v>2.0</v>
      </c>
      <c r="T73" s="22">
        <v>0.0</v>
      </c>
      <c r="U73" s="22">
        <v>2.0</v>
      </c>
      <c r="V73" s="22">
        <v>2.0</v>
      </c>
      <c r="W73" s="22">
        <v>0.0</v>
      </c>
      <c r="X73" s="25"/>
      <c r="Y73" s="25"/>
    </row>
    <row r="74">
      <c r="A74" s="27" t="s">
        <v>253</v>
      </c>
      <c r="B74" s="22">
        <v>2.0</v>
      </c>
      <c r="C74" s="22">
        <v>2.0</v>
      </c>
      <c r="D74" s="22">
        <v>2.0</v>
      </c>
      <c r="E74" s="22">
        <v>1.0</v>
      </c>
      <c r="F74" s="22">
        <v>2.0</v>
      </c>
      <c r="G74" s="22">
        <v>2.0</v>
      </c>
      <c r="H74" s="22">
        <v>0.0</v>
      </c>
      <c r="I74" s="22">
        <v>0.0</v>
      </c>
      <c r="J74" s="22">
        <v>2.0</v>
      </c>
      <c r="K74" s="22">
        <v>0.0</v>
      </c>
      <c r="L74" s="22">
        <v>2.0</v>
      </c>
      <c r="M74" s="22">
        <v>2.0</v>
      </c>
      <c r="N74" s="22">
        <v>0.0</v>
      </c>
      <c r="O74" s="22">
        <v>0.0</v>
      </c>
      <c r="P74" s="22">
        <v>0.0</v>
      </c>
      <c r="Q74" s="22">
        <v>0.0</v>
      </c>
      <c r="R74" s="22">
        <v>2.0</v>
      </c>
      <c r="S74" s="22">
        <v>0.0</v>
      </c>
      <c r="T74" s="22">
        <v>0.0</v>
      </c>
      <c r="U74" s="22">
        <v>0.0</v>
      </c>
      <c r="V74" s="22">
        <v>0.0</v>
      </c>
      <c r="W74" s="22">
        <v>2.0</v>
      </c>
      <c r="X74" s="23"/>
      <c r="Y74" s="23"/>
    </row>
    <row r="75">
      <c r="A75" s="27" t="s">
        <v>254</v>
      </c>
      <c r="B75" s="22">
        <v>2.0</v>
      </c>
      <c r="C75" s="22">
        <v>2.0</v>
      </c>
      <c r="D75" s="22">
        <v>1.0</v>
      </c>
      <c r="E75" s="23"/>
      <c r="F75" s="22">
        <v>1.0</v>
      </c>
      <c r="G75" s="22">
        <v>2.0</v>
      </c>
      <c r="H75" s="22">
        <v>2.0</v>
      </c>
      <c r="I75" s="22">
        <v>1.0</v>
      </c>
      <c r="J75" s="22">
        <v>2.0</v>
      </c>
      <c r="K75" s="22">
        <v>2.0</v>
      </c>
      <c r="L75" s="22">
        <v>2.0</v>
      </c>
      <c r="M75" s="22">
        <v>2.0</v>
      </c>
      <c r="N75" s="22">
        <v>2.0</v>
      </c>
      <c r="O75" s="22">
        <v>2.0</v>
      </c>
      <c r="P75" s="22">
        <v>2.0</v>
      </c>
      <c r="Q75" s="22">
        <v>2.0</v>
      </c>
      <c r="R75" s="22">
        <v>2.0</v>
      </c>
      <c r="S75" s="22">
        <v>2.0</v>
      </c>
      <c r="T75" s="22">
        <v>2.0</v>
      </c>
      <c r="U75" s="22">
        <v>1.0</v>
      </c>
      <c r="V75" s="22">
        <v>2.0</v>
      </c>
      <c r="W75" s="22">
        <v>2.0</v>
      </c>
      <c r="X75" s="23"/>
      <c r="Y75" s="23"/>
    </row>
    <row r="76">
      <c r="A76" s="27" t="s">
        <v>255</v>
      </c>
      <c r="B76" s="22">
        <v>2.0</v>
      </c>
      <c r="C76" s="22">
        <v>2.0</v>
      </c>
      <c r="D76" s="22">
        <v>2.0</v>
      </c>
      <c r="E76" s="23"/>
      <c r="F76" s="22">
        <v>2.0</v>
      </c>
      <c r="G76" s="22">
        <v>2.0</v>
      </c>
      <c r="H76" s="22">
        <v>2.0</v>
      </c>
      <c r="I76" s="22">
        <v>2.0</v>
      </c>
      <c r="J76" s="22">
        <v>0.0</v>
      </c>
      <c r="K76" s="22">
        <v>2.0</v>
      </c>
      <c r="L76" s="22">
        <v>2.0</v>
      </c>
      <c r="M76" s="22">
        <v>2.0</v>
      </c>
      <c r="N76" s="22">
        <v>2.0</v>
      </c>
      <c r="O76" s="22">
        <v>2.0</v>
      </c>
      <c r="P76" s="22">
        <v>2.0</v>
      </c>
      <c r="Q76" s="22">
        <v>1.0</v>
      </c>
      <c r="R76" s="22">
        <v>2.0</v>
      </c>
      <c r="S76" s="22">
        <v>2.0</v>
      </c>
      <c r="T76" s="22">
        <v>2.0</v>
      </c>
      <c r="U76" s="22">
        <v>2.0</v>
      </c>
      <c r="V76" s="22">
        <v>1.0</v>
      </c>
      <c r="W76" s="22">
        <v>1.0</v>
      </c>
      <c r="X76" s="25"/>
      <c r="Y76" s="25"/>
    </row>
    <row r="77">
      <c r="A77" s="27" t="s">
        <v>256</v>
      </c>
      <c r="B77" s="22">
        <v>2.0</v>
      </c>
      <c r="C77" s="22">
        <v>2.0</v>
      </c>
      <c r="D77" s="22">
        <v>1.0</v>
      </c>
      <c r="E77" s="22">
        <v>1.0</v>
      </c>
      <c r="F77" s="22">
        <v>1.0</v>
      </c>
      <c r="G77" s="22">
        <v>1.0</v>
      </c>
      <c r="H77" s="22">
        <v>1.0</v>
      </c>
      <c r="I77" s="22">
        <v>1.0</v>
      </c>
      <c r="J77" s="22">
        <v>1.0</v>
      </c>
      <c r="K77" s="22">
        <v>0.0</v>
      </c>
      <c r="L77" s="22">
        <v>2.0</v>
      </c>
      <c r="M77" s="22">
        <v>0.0</v>
      </c>
      <c r="N77" s="22">
        <v>0.0</v>
      </c>
      <c r="O77" s="22">
        <v>0.0</v>
      </c>
      <c r="P77" s="22">
        <v>0.0</v>
      </c>
      <c r="Q77" s="22">
        <v>2.0</v>
      </c>
      <c r="R77" s="22">
        <v>2.0</v>
      </c>
      <c r="S77" s="22">
        <v>0.0</v>
      </c>
      <c r="T77" s="22">
        <v>2.0</v>
      </c>
      <c r="U77" s="22">
        <v>2.0</v>
      </c>
      <c r="V77" s="22">
        <v>2.0</v>
      </c>
      <c r="W77" s="22">
        <v>2.0</v>
      </c>
      <c r="X77" s="23"/>
      <c r="Y77" s="23"/>
    </row>
    <row r="78">
      <c r="A78" s="27" t="s">
        <v>257</v>
      </c>
      <c r="B78" s="22">
        <v>2.0</v>
      </c>
      <c r="C78" s="22">
        <v>2.0</v>
      </c>
      <c r="D78" s="22">
        <v>2.0</v>
      </c>
      <c r="E78" s="23"/>
      <c r="F78" s="22">
        <v>2.0</v>
      </c>
      <c r="G78" s="22">
        <v>2.0</v>
      </c>
      <c r="H78" s="22">
        <v>1.0</v>
      </c>
      <c r="I78" s="22">
        <v>2.0</v>
      </c>
      <c r="J78" s="22">
        <v>2.0</v>
      </c>
      <c r="K78" s="22">
        <v>2.0</v>
      </c>
      <c r="L78" s="22">
        <v>2.0</v>
      </c>
      <c r="M78" s="22">
        <v>2.0</v>
      </c>
      <c r="N78" s="22">
        <v>2.0</v>
      </c>
      <c r="O78" s="22">
        <v>2.0</v>
      </c>
      <c r="P78" s="22">
        <v>2.0</v>
      </c>
      <c r="Q78" s="22">
        <v>1.0</v>
      </c>
      <c r="R78" s="22">
        <v>2.0</v>
      </c>
      <c r="S78" s="22">
        <v>0.0</v>
      </c>
      <c r="T78" s="22">
        <v>0.0</v>
      </c>
      <c r="U78" s="22">
        <v>0.0</v>
      </c>
      <c r="V78" s="22">
        <v>2.0</v>
      </c>
      <c r="W78" s="22">
        <v>2.0</v>
      </c>
      <c r="X78" s="23"/>
      <c r="Y78" s="23"/>
    </row>
    <row r="79">
      <c r="A79" s="28" t="s">
        <v>258</v>
      </c>
      <c r="B79" s="22">
        <v>2.0</v>
      </c>
      <c r="C79" s="22">
        <v>2.0</v>
      </c>
      <c r="D79" s="22">
        <v>2.0</v>
      </c>
      <c r="E79" s="22">
        <v>1.0</v>
      </c>
      <c r="F79" s="22">
        <v>1.0</v>
      </c>
      <c r="G79" s="22">
        <v>1.0</v>
      </c>
      <c r="H79" s="22">
        <v>1.0</v>
      </c>
      <c r="I79" s="22">
        <v>2.0</v>
      </c>
      <c r="J79" s="22">
        <v>1.0</v>
      </c>
      <c r="K79" s="22">
        <v>1.0</v>
      </c>
      <c r="L79" s="22">
        <v>2.0</v>
      </c>
      <c r="M79" s="22">
        <v>2.0</v>
      </c>
      <c r="N79" s="22">
        <v>2.0</v>
      </c>
      <c r="O79" s="22">
        <v>2.0</v>
      </c>
      <c r="P79" s="22">
        <v>2.0</v>
      </c>
      <c r="Q79" s="22">
        <v>2.0</v>
      </c>
      <c r="R79" s="22">
        <v>2.0</v>
      </c>
      <c r="S79" s="22">
        <v>2.0</v>
      </c>
      <c r="T79" s="22">
        <v>2.0</v>
      </c>
      <c r="U79" s="22">
        <v>2.0</v>
      </c>
      <c r="V79" s="22">
        <v>2.0</v>
      </c>
      <c r="W79" s="22">
        <v>2.0</v>
      </c>
      <c r="X79" s="23"/>
      <c r="Y79" s="23"/>
    </row>
    <row r="80">
      <c r="A80" s="27" t="s">
        <v>259</v>
      </c>
      <c r="B80" s="22">
        <v>2.0</v>
      </c>
      <c r="C80" s="22">
        <v>2.0</v>
      </c>
      <c r="D80" s="22">
        <v>2.0</v>
      </c>
      <c r="E80" s="23"/>
      <c r="F80" s="22">
        <v>2.0</v>
      </c>
      <c r="G80" s="22">
        <v>2.0</v>
      </c>
      <c r="H80" s="22">
        <v>0.0</v>
      </c>
      <c r="I80" s="22">
        <v>0.0</v>
      </c>
      <c r="J80" s="22">
        <v>2.0</v>
      </c>
      <c r="K80" s="22">
        <v>2.0</v>
      </c>
      <c r="L80" s="22">
        <v>2.0</v>
      </c>
      <c r="M80" s="22">
        <v>2.0</v>
      </c>
      <c r="N80" s="22">
        <v>2.0</v>
      </c>
      <c r="O80" s="22">
        <v>2.0</v>
      </c>
      <c r="P80" s="22">
        <v>2.0</v>
      </c>
      <c r="Q80" s="22">
        <v>2.0</v>
      </c>
      <c r="R80" s="22">
        <v>2.0</v>
      </c>
      <c r="S80" s="22">
        <v>0.0</v>
      </c>
      <c r="T80" s="22">
        <v>1.0</v>
      </c>
      <c r="U80" s="22">
        <v>1.0</v>
      </c>
      <c r="V80" s="22">
        <v>2.0</v>
      </c>
      <c r="W80" s="22">
        <v>2.0</v>
      </c>
      <c r="X80" s="23"/>
      <c r="Y80" s="23"/>
    </row>
    <row r="81">
      <c r="A81" s="27" t="s">
        <v>260</v>
      </c>
      <c r="B81" s="22">
        <v>2.0</v>
      </c>
      <c r="C81" s="22">
        <v>2.0</v>
      </c>
      <c r="D81" s="22">
        <v>2.0</v>
      </c>
      <c r="E81" s="23"/>
      <c r="F81" s="22">
        <v>2.0</v>
      </c>
      <c r="G81" s="22">
        <v>0.0</v>
      </c>
      <c r="H81" s="22">
        <v>2.0</v>
      </c>
      <c r="I81" s="22">
        <v>2.0</v>
      </c>
      <c r="J81" s="22">
        <v>2.0</v>
      </c>
      <c r="K81" s="22">
        <v>2.0</v>
      </c>
      <c r="L81" s="22">
        <v>0.0</v>
      </c>
      <c r="M81" s="22">
        <v>2.0</v>
      </c>
      <c r="N81" s="22">
        <v>2.0</v>
      </c>
      <c r="O81" s="22">
        <v>2.0</v>
      </c>
      <c r="P81" s="22">
        <v>2.0</v>
      </c>
      <c r="Q81" s="22">
        <v>2.0</v>
      </c>
      <c r="R81" s="22">
        <v>2.0</v>
      </c>
      <c r="S81" s="22">
        <v>1.0</v>
      </c>
      <c r="T81" s="22">
        <v>2.0</v>
      </c>
      <c r="U81" s="22">
        <v>2.0</v>
      </c>
      <c r="V81" s="22">
        <v>0.0</v>
      </c>
      <c r="W81" s="22">
        <v>2.0</v>
      </c>
      <c r="X81" s="23"/>
      <c r="Y81" s="23"/>
    </row>
    <row r="82">
      <c r="A82" s="29" t="s">
        <v>261</v>
      </c>
      <c r="B82" s="22">
        <v>2.0</v>
      </c>
      <c r="C82" s="22">
        <v>2.0</v>
      </c>
      <c r="D82" s="22">
        <v>2.0</v>
      </c>
      <c r="E82" s="23"/>
      <c r="F82" s="22">
        <v>1.0</v>
      </c>
      <c r="G82" s="22">
        <v>2.0</v>
      </c>
      <c r="H82" s="22">
        <v>1.0</v>
      </c>
      <c r="I82" s="22">
        <v>2.0</v>
      </c>
      <c r="J82" s="22">
        <v>1.0</v>
      </c>
      <c r="K82" s="22">
        <v>2.0</v>
      </c>
      <c r="L82" s="22">
        <v>2.0</v>
      </c>
      <c r="M82" s="22">
        <v>2.0</v>
      </c>
      <c r="N82" s="22">
        <v>0.0</v>
      </c>
      <c r="O82" s="22">
        <v>0.0</v>
      </c>
      <c r="P82" s="22">
        <v>2.0</v>
      </c>
      <c r="Q82" s="22">
        <v>2.0</v>
      </c>
      <c r="R82" s="22">
        <v>2.0</v>
      </c>
      <c r="S82" s="22">
        <v>0.0</v>
      </c>
      <c r="T82" s="22">
        <v>2.0</v>
      </c>
      <c r="U82" s="22">
        <v>2.0</v>
      </c>
      <c r="V82" s="22">
        <v>2.0</v>
      </c>
      <c r="W82" s="22">
        <v>2.0</v>
      </c>
      <c r="X82" s="22"/>
      <c r="Y82" s="25"/>
    </row>
    <row r="83">
      <c r="A83" s="29" t="s">
        <v>262</v>
      </c>
      <c r="B83" s="22">
        <v>0.0</v>
      </c>
      <c r="C83" s="22">
        <v>2.0</v>
      </c>
      <c r="D83" s="22">
        <v>2.0</v>
      </c>
      <c r="E83" s="23"/>
      <c r="F83" s="22">
        <v>2.0</v>
      </c>
      <c r="G83" s="22">
        <v>0.0</v>
      </c>
      <c r="H83" s="22">
        <v>2.0</v>
      </c>
      <c r="I83" s="22">
        <v>0.0</v>
      </c>
      <c r="J83" s="22">
        <v>2.0</v>
      </c>
      <c r="K83" s="22">
        <v>2.0</v>
      </c>
      <c r="L83" s="22">
        <v>0.0</v>
      </c>
      <c r="M83" s="22">
        <v>2.0</v>
      </c>
      <c r="N83" s="22">
        <v>2.0</v>
      </c>
      <c r="O83" s="22">
        <v>1.0</v>
      </c>
      <c r="P83" s="22">
        <v>2.0</v>
      </c>
      <c r="Q83" s="22">
        <v>2.0</v>
      </c>
      <c r="R83" s="22">
        <v>2.0</v>
      </c>
      <c r="S83" s="22">
        <v>0.0</v>
      </c>
      <c r="T83" s="22">
        <v>2.0</v>
      </c>
      <c r="U83" s="22">
        <v>0.0</v>
      </c>
      <c r="V83" s="22">
        <v>2.0</v>
      </c>
      <c r="W83" s="22">
        <v>2.0</v>
      </c>
      <c r="X83" s="23"/>
      <c r="Y83" s="23"/>
    </row>
    <row r="84">
      <c r="A84" s="29" t="s">
        <v>263</v>
      </c>
      <c r="B84" s="22">
        <v>2.0</v>
      </c>
      <c r="C84" s="22">
        <v>2.0</v>
      </c>
      <c r="D84" s="22">
        <v>2.0</v>
      </c>
      <c r="E84" s="23"/>
      <c r="F84" s="22">
        <v>0.0</v>
      </c>
      <c r="G84" s="22">
        <v>0.0</v>
      </c>
      <c r="H84" s="22">
        <v>2.0</v>
      </c>
      <c r="I84" s="22">
        <v>2.0</v>
      </c>
      <c r="J84" s="22">
        <v>0.0</v>
      </c>
      <c r="K84" s="22">
        <v>2.0</v>
      </c>
      <c r="L84" s="22">
        <v>2.0</v>
      </c>
      <c r="M84" s="22">
        <v>2.0</v>
      </c>
      <c r="N84" s="22">
        <v>2.0</v>
      </c>
      <c r="O84" s="22">
        <v>2.0</v>
      </c>
      <c r="P84" s="22">
        <v>2.0</v>
      </c>
      <c r="Q84" s="22">
        <v>1.0</v>
      </c>
      <c r="R84" s="22">
        <v>2.0</v>
      </c>
      <c r="S84" s="22">
        <v>2.0</v>
      </c>
      <c r="T84" s="22">
        <v>2.0</v>
      </c>
      <c r="U84" s="22">
        <v>2.0</v>
      </c>
      <c r="V84" s="22">
        <v>2.0</v>
      </c>
      <c r="W84" s="22">
        <v>1.0</v>
      </c>
      <c r="X84" s="25"/>
      <c r="Y84" s="25"/>
    </row>
    <row r="85">
      <c r="A85" s="29" t="s">
        <v>264</v>
      </c>
      <c r="B85" s="22">
        <v>2.0</v>
      </c>
      <c r="C85" s="22">
        <v>2.0</v>
      </c>
      <c r="D85" s="22">
        <v>2.0</v>
      </c>
      <c r="E85" s="23"/>
      <c r="F85" s="22">
        <v>0.0</v>
      </c>
      <c r="G85" s="22">
        <v>2.0</v>
      </c>
      <c r="H85" s="22">
        <v>0.0</v>
      </c>
      <c r="I85" s="22">
        <v>2.0</v>
      </c>
      <c r="J85" s="22">
        <v>0.0</v>
      </c>
      <c r="K85" s="22">
        <v>2.0</v>
      </c>
      <c r="L85" s="22">
        <v>0.0</v>
      </c>
      <c r="M85" s="22">
        <v>2.0</v>
      </c>
      <c r="N85" s="22">
        <v>0.0</v>
      </c>
      <c r="O85" s="22">
        <v>0.0</v>
      </c>
      <c r="P85" s="22">
        <v>1.0</v>
      </c>
      <c r="Q85" s="22">
        <v>2.0</v>
      </c>
      <c r="R85" s="22">
        <v>2.0</v>
      </c>
      <c r="S85" s="22">
        <v>0.0</v>
      </c>
      <c r="T85" s="22">
        <v>2.0</v>
      </c>
      <c r="U85" s="22">
        <v>0.0</v>
      </c>
      <c r="V85" s="22">
        <v>2.0</v>
      </c>
      <c r="W85" s="22">
        <v>2.0</v>
      </c>
      <c r="X85" s="23"/>
      <c r="Y85" s="23"/>
    </row>
    <row r="86">
      <c r="A86" s="29" t="s">
        <v>265</v>
      </c>
      <c r="B86" s="22">
        <v>2.0</v>
      </c>
      <c r="C86" s="22">
        <v>2.0</v>
      </c>
      <c r="D86" s="22">
        <v>2.0</v>
      </c>
      <c r="E86" s="23"/>
      <c r="F86" s="22">
        <v>2.0</v>
      </c>
      <c r="G86" s="22">
        <v>2.0</v>
      </c>
      <c r="H86" s="22">
        <v>0.0</v>
      </c>
      <c r="I86" s="22">
        <v>0.0</v>
      </c>
      <c r="J86" s="22">
        <v>2.0</v>
      </c>
      <c r="K86" s="22">
        <v>2.0</v>
      </c>
      <c r="L86" s="22">
        <v>2.0</v>
      </c>
      <c r="M86" s="22">
        <v>2.0</v>
      </c>
      <c r="N86" s="22">
        <v>2.0</v>
      </c>
      <c r="O86" s="22">
        <v>2.0</v>
      </c>
      <c r="P86" s="22">
        <v>1.0</v>
      </c>
      <c r="Q86" s="22">
        <v>2.0</v>
      </c>
      <c r="R86" s="22">
        <v>2.0</v>
      </c>
      <c r="S86" s="22">
        <v>0.0</v>
      </c>
      <c r="T86" s="22">
        <v>2.0</v>
      </c>
      <c r="U86" s="22">
        <v>2.0</v>
      </c>
      <c r="V86" s="22">
        <v>2.0</v>
      </c>
      <c r="W86" s="22">
        <v>2.0</v>
      </c>
      <c r="X86" s="23"/>
      <c r="Y86" s="23"/>
    </row>
    <row r="87">
      <c r="A87" s="29" t="s">
        <v>266</v>
      </c>
      <c r="B87" s="22">
        <v>2.0</v>
      </c>
      <c r="C87" s="22">
        <v>2.0</v>
      </c>
      <c r="D87" s="22">
        <v>2.0</v>
      </c>
      <c r="E87" s="23"/>
      <c r="F87" s="22">
        <v>2.0</v>
      </c>
      <c r="G87" s="22">
        <v>2.0</v>
      </c>
      <c r="H87" s="22">
        <v>2.0</v>
      </c>
      <c r="I87" s="22">
        <v>2.0</v>
      </c>
      <c r="J87" s="22">
        <v>0.0</v>
      </c>
      <c r="K87" s="22">
        <v>2.0</v>
      </c>
      <c r="L87" s="22">
        <v>2.0</v>
      </c>
      <c r="M87" s="22">
        <v>2.0</v>
      </c>
      <c r="N87" s="22">
        <v>2.0</v>
      </c>
      <c r="O87" s="22">
        <v>2.0</v>
      </c>
      <c r="P87" s="22">
        <v>2.0</v>
      </c>
      <c r="Q87" s="22">
        <v>1.0</v>
      </c>
      <c r="R87" s="22">
        <v>2.0</v>
      </c>
      <c r="S87" s="22">
        <v>0.0</v>
      </c>
      <c r="T87" s="22">
        <v>2.0</v>
      </c>
      <c r="U87" s="22">
        <v>2.0</v>
      </c>
      <c r="V87" s="22">
        <v>0.0</v>
      </c>
      <c r="W87" s="22">
        <v>2.0</v>
      </c>
      <c r="X87" s="23"/>
      <c r="Y87" s="23"/>
    </row>
    <row r="88">
      <c r="A88" s="29" t="s">
        <v>267</v>
      </c>
      <c r="B88" s="22">
        <v>2.0</v>
      </c>
      <c r="C88" s="22">
        <v>2.0</v>
      </c>
      <c r="D88" s="22">
        <v>2.0</v>
      </c>
      <c r="E88" s="23"/>
      <c r="F88" s="22">
        <v>2.0</v>
      </c>
      <c r="G88" s="22">
        <v>2.0</v>
      </c>
      <c r="H88" s="22">
        <v>2.0</v>
      </c>
      <c r="I88" s="22">
        <v>1.0</v>
      </c>
      <c r="J88" s="22">
        <v>1.0</v>
      </c>
      <c r="K88" s="22">
        <v>1.0</v>
      </c>
      <c r="L88" s="22">
        <v>2.0</v>
      </c>
      <c r="M88" s="22">
        <v>2.0</v>
      </c>
      <c r="N88" s="22">
        <v>2.0</v>
      </c>
      <c r="O88" s="22">
        <v>2.0</v>
      </c>
      <c r="P88" s="22">
        <v>1.0</v>
      </c>
      <c r="Q88" s="22">
        <v>2.0</v>
      </c>
      <c r="R88" s="22">
        <v>2.0</v>
      </c>
      <c r="S88" s="22">
        <v>2.0</v>
      </c>
      <c r="T88" s="22">
        <v>2.0</v>
      </c>
      <c r="U88" s="22">
        <v>2.0</v>
      </c>
      <c r="V88" s="22">
        <v>2.0</v>
      </c>
      <c r="W88" s="22">
        <v>2.0</v>
      </c>
      <c r="X88" s="23"/>
      <c r="Y88" s="23"/>
    </row>
    <row r="89">
      <c r="A89" s="30" t="s">
        <v>268</v>
      </c>
      <c r="B89" s="22">
        <v>2.0</v>
      </c>
      <c r="C89" s="22">
        <v>2.0</v>
      </c>
      <c r="D89" s="22">
        <v>2.0</v>
      </c>
      <c r="E89" s="22">
        <v>1.0</v>
      </c>
      <c r="F89" s="22">
        <v>2.0</v>
      </c>
      <c r="G89" s="22">
        <v>0.0</v>
      </c>
      <c r="H89" s="22">
        <v>2.0</v>
      </c>
      <c r="I89" s="22">
        <v>2.0</v>
      </c>
      <c r="J89" s="22">
        <v>0.0</v>
      </c>
      <c r="K89" s="22">
        <v>2.0</v>
      </c>
      <c r="L89" s="22">
        <v>2.0</v>
      </c>
      <c r="M89" s="22">
        <v>2.0</v>
      </c>
      <c r="N89" s="22">
        <v>0.0</v>
      </c>
      <c r="O89" s="22">
        <v>2.0</v>
      </c>
      <c r="P89" s="22">
        <v>2.0</v>
      </c>
      <c r="Q89" s="22">
        <v>2.0</v>
      </c>
      <c r="R89" s="22">
        <v>2.0</v>
      </c>
      <c r="S89" s="22">
        <v>2.0</v>
      </c>
      <c r="T89" s="22">
        <v>2.0</v>
      </c>
      <c r="U89" s="22">
        <v>2.0</v>
      </c>
      <c r="V89" s="22">
        <v>2.0</v>
      </c>
      <c r="W89" s="22">
        <v>2.0</v>
      </c>
      <c r="X89" s="23"/>
      <c r="Y89" s="23"/>
    </row>
    <row r="90">
      <c r="A90" s="30" t="s">
        <v>269</v>
      </c>
      <c r="B90" s="22">
        <v>0.0</v>
      </c>
      <c r="C90" s="22">
        <v>2.0</v>
      </c>
      <c r="D90" s="22">
        <v>2.0</v>
      </c>
      <c r="E90" s="23"/>
      <c r="F90" s="22">
        <v>2.0</v>
      </c>
      <c r="G90" s="22">
        <v>2.0</v>
      </c>
      <c r="H90" s="22">
        <v>2.0</v>
      </c>
      <c r="I90" s="22">
        <v>2.0</v>
      </c>
      <c r="J90" s="22">
        <v>2.0</v>
      </c>
      <c r="K90" s="22">
        <v>2.0</v>
      </c>
      <c r="L90" s="22">
        <v>2.0</v>
      </c>
      <c r="M90" s="22">
        <v>2.0</v>
      </c>
      <c r="N90" s="22">
        <v>0.0</v>
      </c>
      <c r="O90" s="22">
        <v>2.0</v>
      </c>
      <c r="P90" s="22">
        <v>2.0</v>
      </c>
      <c r="Q90" s="22">
        <v>2.0</v>
      </c>
      <c r="R90" s="22">
        <v>2.0</v>
      </c>
      <c r="S90" s="22">
        <v>0.0</v>
      </c>
      <c r="T90" s="22">
        <v>2.0</v>
      </c>
      <c r="U90" s="22">
        <v>2.0</v>
      </c>
      <c r="V90" s="22">
        <v>2.0</v>
      </c>
      <c r="W90" s="22">
        <v>2.0</v>
      </c>
      <c r="X90" s="23"/>
      <c r="Y90" s="23"/>
    </row>
    <row r="91">
      <c r="A91" s="31" t="s">
        <v>270</v>
      </c>
      <c r="B91" s="22">
        <v>2.0</v>
      </c>
      <c r="C91" s="22">
        <v>1.0</v>
      </c>
      <c r="D91" s="22">
        <v>2.0</v>
      </c>
      <c r="E91" s="23"/>
      <c r="F91" s="22">
        <v>2.0</v>
      </c>
      <c r="G91" s="22">
        <v>2.0</v>
      </c>
      <c r="H91" s="22">
        <v>1.0</v>
      </c>
      <c r="I91" s="22">
        <v>2.0</v>
      </c>
      <c r="J91" s="22">
        <v>1.0</v>
      </c>
      <c r="K91" s="22">
        <v>2.0</v>
      </c>
      <c r="L91" s="22">
        <v>2.0</v>
      </c>
      <c r="M91" s="22">
        <v>2.0</v>
      </c>
      <c r="N91" s="22">
        <v>2.0</v>
      </c>
      <c r="O91" s="22">
        <v>2.0</v>
      </c>
      <c r="P91" s="22">
        <v>2.0</v>
      </c>
      <c r="Q91" s="22">
        <v>2.0</v>
      </c>
      <c r="R91" s="22">
        <v>2.0</v>
      </c>
      <c r="S91" s="22">
        <v>2.0</v>
      </c>
      <c r="T91" s="22">
        <v>2.0</v>
      </c>
      <c r="U91" s="22">
        <v>2.0</v>
      </c>
      <c r="V91" s="22">
        <v>2.0</v>
      </c>
      <c r="W91" s="22">
        <v>2.0</v>
      </c>
      <c r="X91" s="23"/>
      <c r="Y91" s="23"/>
    </row>
    <row r="92">
      <c r="A92" s="31" t="s">
        <v>271</v>
      </c>
      <c r="B92" s="22">
        <v>2.0</v>
      </c>
      <c r="C92" s="22">
        <v>0.0</v>
      </c>
      <c r="D92" s="22">
        <v>2.0</v>
      </c>
      <c r="E92" s="23"/>
      <c r="F92" s="22">
        <v>2.0</v>
      </c>
      <c r="G92" s="22">
        <v>2.0</v>
      </c>
      <c r="H92" s="22">
        <v>2.0</v>
      </c>
      <c r="I92" s="22">
        <v>2.0</v>
      </c>
      <c r="J92" s="22">
        <v>2.0</v>
      </c>
      <c r="K92" s="22">
        <v>2.0</v>
      </c>
      <c r="L92" s="22">
        <v>1.0</v>
      </c>
      <c r="M92" s="22">
        <v>2.0</v>
      </c>
      <c r="N92" s="22">
        <v>2.0</v>
      </c>
      <c r="O92" s="22">
        <v>0.0</v>
      </c>
      <c r="P92" s="22">
        <v>0.0</v>
      </c>
      <c r="Q92" s="22">
        <v>0.0</v>
      </c>
      <c r="R92" s="22">
        <v>2.0</v>
      </c>
      <c r="S92" s="22">
        <v>2.0</v>
      </c>
      <c r="T92" s="22">
        <v>2.0</v>
      </c>
      <c r="U92" s="22">
        <v>0.0</v>
      </c>
      <c r="V92" s="22">
        <v>0.0</v>
      </c>
      <c r="W92" s="22">
        <v>2.0</v>
      </c>
      <c r="X92" s="23"/>
      <c r="Y92" s="23"/>
    </row>
    <row r="93">
      <c r="A93" s="31" t="s">
        <v>272</v>
      </c>
      <c r="B93" s="22">
        <v>2.0</v>
      </c>
      <c r="C93" s="22">
        <v>1.0</v>
      </c>
      <c r="D93" s="22">
        <v>1.0</v>
      </c>
      <c r="E93" s="23"/>
      <c r="F93" s="22">
        <v>2.0</v>
      </c>
      <c r="G93" s="22">
        <v>2.0</v>
      </c>
      <c r="H93" s="22">
        <v>2.0</v>
      </c>
      <c r="I93" s="22">
        <v>2.0</v>
      </c>
      <c r="J93" s="22">
        <v>2.0</v>
      </c>
      <c r="K93" s="22">
        <v>2.0</v>
      </c>
      <c r="L93" s="22">
        <v>2.0</v>
      </c>
      <c r="M93" s="22">
        <v>2.0</v>
      </c>
      <c r="N93" s="22">
        <v>2.0</v>
      </c>
      <c r="O93" s="22">
        <v>2.0</v>
      </c>
      <c r="P93" s="22">
        <v>1.0</v>
      </c>
      <c r="Q93" s="22">
        <v>1.0</v>
      </c>
      <c r="R93" s="22">
        <v>2.0</v>
      </c>
      <c r="S93" s="22">
        <v>2.0</v>
      </c>
      <c r="T93" s="22">
        <v>2.0</v>
      </c>
      <c r="U93" s="22">
        <v>2.0</v>
      </c>
      <c r="V93" s="22">
        <v>2.0</v>
      </c>
      <c r="W93" s="22">
        <v>1.0</v>
      </c>
      <c r="X93" s="25"/>
      <c r="Y93" s="25"/>
    </row>
    <row r="94">
      <c r="A94" s="31" t="s">
        <v>273</v>
      </c>
      <c r="B94" s="22">
        <v>2.0</v>
      </c>
      <c r="C94" s="22">
        <v>2.0</v>
      </c>
      <c r="D94" s="22">
        <v>1.0</v>
      </c>
      <c r="E94" s="23"/>
      <c r="F94" s="22">
        <v>2.0</v>
      </c>
      <c r="G94" s="22">
        <v>2.0</v>
      </c>
      <c r="H94" s="22">
        <v>0.0</v>
      </c>
      <c r="I94" s="22">
        <v>2.0</v>
      </c>
      <c r="J94" s="22">
        <v>2.0</v>
      </c>
      <c r="K94" s="22">
        <v>2.0</v>
      </c>
      <c r="L94" s="22">
        <v>2.0</v>
      </c>
      <c r="M94" s="22">
        <v>2.0</v>
      </c>
      <c r="N94" s="22">
        <v>2.0</v>
      </c>
      <c r="O94" s="22">
        <v>2.0</v>
      </c>
      <c r="P94" s="22">
        <v>2.0</v>
      </c>
      <c r="Q94" s="22">
        <v>2.0</v>
      </c>
      <c r="R94" s="22">
        <v>2.0</v>
      </c>
      <c r="S94" s="22">
        <v>2.0</v>
      </c>
      <c r="T94" s="22">
        <v>2.0</v>
      </c>
      <c r="U94" s="22">
        <v>1.0</v>
      </c>
      <c r="V94" s="22">
        <v>0.0</v>
      </c>
      <c r="W94" s="22">
        <v>1.0</v>
      </c>
      <c r="X94" s="25"/>
      <c r="Y94" s="25"/>
    </row>
    <row r="95">
      <c r="A95" s="32" t="s">
        <v>274</v>
      </c>
      <c r="B95" s="22">
        <v>2.0</v>
      </c>
      <c r="C95" s="22">
        <v>2.0</v>
      </c>
      <c r="D95" s="22">
        <v>2.0</v>
      </c>
      <c r="E95" s="23"/>
      <c r="F95" s="22">
        <v>2.0</v>
      </c>
      <c r="G95" s="22">
        <v>2.0</v>
      </c>
      <c r="H95" s="22">
        <v>2.0</v>
      </c>
      <c r="I95" s="22">
        <v>2.0</v>
      </c>
      <c r="J95" s="22">
        <v>2.0</v>
      </c>
      <c r="K95" s="22">
        <v>2.0</v>
      </c>
      <c r="L95" s="22">
        <v>2.0</v>
      </c>
      <c r="M95" s="22">
        <v>2.0</v>
      </c>
      <c r="N95" s="22">
        <v>2.0</v>
      </c>
      <c r="O95" s="22">
        <v>2.0</v>
      </c>
      <c r="P95" s="22">
        <v>2.0</v>
      </c>
      <c r="Q95" s="22">
        <v>2.0</v>
      </c>
      <c r="R95" s="22">
        <v>2.0</v>
      </c>
      <c r="S95" s="22">
        <v>2.0</v>
      </c>
      <c r="T95" s="22">
        <v>1.0</v>
      </c>
      <c r="U95" s="22">
        <v>2.0</v>
      </c>
      <c r="V95" s="22">
        <v>2.0</v>
      </c>
      <c r="W95" s="22">
        <v>2.0</v>
      </c>
      <c r="X95" s="23"/>
      <c r="Y95" s="23"/>
    </row>
    <row r="96">
      <c r="A96" s="32" t="s">
        <v>275</v>
      </c>
      <c r="B96" s="22">
        <v>2.0</v>
      </c>
      <c r="C96" s="22">
        <v>2.0</v>
      </c>
      <c r="D96" s="22">
        <v>2.0</v>
      </c>
      <c r="E96" s="23"/>
      <c r="F96" s="22">
        <v>0.0</v>
      </c>
      <c r="G96" s="22">
        <v>0.0</v>
      </c>
      <c r="H96" s="22">
        <v>0.0</v>
      </c>
      <c r="I96" s="22">
        <v>2.0</v>
      </c>
      <c r="J96" s="22">
        <v>2.0</v>
      </c>
      <c r="K96" s="22">
        <v>2.0</v>
      </c>
      <c r="L96" s="22">
        <v>2.0</v>
      </c>
      <c r="M96" s="22">
        <v>2.0</v>
      </c>
      <c r="N96" s="22">
        <v>0.0</v>
      </c>
      <c r="O96" s="22">
        <v>0.0</v>
      </c>
      <c r="P96" s="22">
        <v>0.0</v>
      </c>
      <c r="Q96" s="22">
        <v>2.0</v>
      </c>
      <c r="R96" s="22">
        <v>2.0</v>
      </c>
      <c r="S96" s="22">
        <v>0.0</v>
      </c>
      <c r="T96" s="22">
        <v>2.0</v>
      </c>
      <c r="U96" s="22">
        <v>0.0</v>
      </c>
      <c r="V96" s="22">
        <v>0.0</v>
      </c>
      <c r="W96" s="22">
        <v>0.0</v>
      </c>
      <c r="X96" s="25"/>
      <c r="Y96" s="25"/>
    </row>
    <row r="97">
      <c r="A97" s="32" t="s">
        <v>276</v>
      </c>
      <c r="B97" s="22">
        <v>2.0</v>
      </c>
      <c r="C97" s="22">
        <v>2.0</v>
      </c>
      <c r="D97" s="22">
        <v>2.0</v>
      </c>
      <c r="E97" s="23"/>
      <c r="F97" s="22">
        <v>2.0</v>
      </c>
      <c r="G97" s="22">
        <v>2.0</v>
      </c>
      <c r="H97" s="22">
        <v>2.0</v>
      </c>
      <c r="I97" s="22">
        <v>2.0</v>
      </c>
      <c r="J97" s="22">
        <v>0.0</v>
      </c>
      <c r="K97" s="22">
        <v>2.0</v>
      </c>
      <c r="L97" s="22">
        <v>2.0</v>
      </c>
      <c r="M97" s="22">
        <v>2.0</v>
      </c>
      <c r="N97" s="22">
        <v>2.0</v>
      </c>
      <c r="O97" s="22">
        <v>2.0</v>
      </c>
      <c r="P97" s="22">
        <v>2.0</v>
      </c>
      <c r="Q97" s="22">
        <v>0.0</v>
      </c>
      <c r="R97" s="22">
        <v>2.0</v>
      </c>
      <c r="S97" s="22">
        <v>0.0</v>
      </c>
      <c r="T97" s="22">
        <v>2.0</v>
      </c>
      <c r="U97" s="22">
        <v>2.0</v>
      </c>
      <c r="V97" s="22">
        <v>2.0</v>
      </c>
      <c r="W97" s="22">
        <v>2.0</v>
      </c>
      <c r="X97" s="23"/>
      <c r="Y97" s="23"/>
    </row>
    <row r="98">
      <c r="A98" s="32" t="s">
        <v>277</v>
      </c>
      <c r="B98" s="22">
        <v>2.0</v>
      </c>
      <c r="C98" s="22">
        <v>2.0</v>
      </c>
      <c r="D98" s="22">
        <v>2.0</v>
      </c>
      <c r="E98" s="23"/>
      <c r="F98" s="22">
        <v>2.0</v>
      </c>
      <c r="G98" s="22">
        <v>2.0</v>
      </c>
      <c r="H98" s="22">
        <v>0.0</v>
      </c>
      <c r="I98" s="22">
        <v>2.0</v>
      </c>
      <c r="J98" s="22">
        <v>2.0</v>
      </c>
      <c r="K98" s="22">
        <v>2.0</v>
      </c>
      <c r="L98" s="22">
        <v>0.0</v>
      </c>
      <c r="M98" s="22">
        <v>2.0</v>
      </c>
      <c r="N98" s="22">
        <v>0.0</v>
      </c>
      <c r="O98" s="22">
        <v>0.0</v>
      </c>
      <c r="P98" s="22">
        <v>0.0</v>
      </c>
      <c r="Q98" s="22">
        <v>2.0</v>
      </c>
      <c r="R98" s="22">
        <v>2.0</v>
      </c>
      <c r="S98" s="22">
        <v>0.0</v>
      </c>
      <c r="T98" s="22">
        <v>2.0</v>
      </c>
      <c r="U98" s="22">
        <v>0.0</v>
      </c>
      <c r="V98" s="22">
        <v>2.0</v>
      </c>
      <c r="W98" s="22">
        <v>2.0</v>
      </c>
      <c r="X98" s="23"/>
      <c r="Y98" s="23"/>
    </row>
    <row r="99">
      <c r="A99" s="32" t="s">
        <v>278</v>
      </c>
      <c r="B99" s="22">
        <v>2.0</v>
      </c>
      <c r="C99" s="22">
        <v>2.0</v>
      </c>
      <c r="D99" s="22">
        <v>2.0</v>
      </c>
      <c r="E99" s="23"/>
      <c r="F99" s="22">
        <v>2.0</v>
      </c>
      <c r="G99" s="22">
        <v>2.0</v>
      </c>
      <c r="H99" s="22">
        <v>0.0</v>
      </c>
      <c r="I99" s="22">
        <v>2.0</v>
      </c>
      <c r="J99" s="22">
        <v>0.0</v>
      </c>
      <c r="K99" s="22">
        <v>2.0</v>
      </c>
      <c r="L99" s="22">
        <v>2.0</v>
      </c>
      <c r="M99" s="22">
        <v>2.0</v>
      </c>
      <c r="N99" s="22">
        <v>2.0</v>
      </c>
      <c r="O99" s="22">
        <v>0.0</v>
      </c>
      <c r="P99" s="22">
        <v>2.0</v>
      </c>
      <c r="Q99" s="22">
        <v>2.0</v>
      </c>
      <c r="R99" s="22">
        <v>2.0</v>
      </c>
      <c r="S99" s="22">
        <v>2.0</v>
      </c>
      <c r="T99" s="22">
        <v>2.0</v>
      </c>
      <c r="U99" s="22">
        <v>2.0</v>
      </c>
      <c r="V99" s="22">
        <v>2.0</v>
      </c>
      <c r="W99" s="22">
        <v>2.0</v>
      </c>
      <c r="X99" s="23"/>
      <c r="Y99" s="23"/>
    </row>
    <row r="100">
      <c r="A100" s="32" t="s">
        <v>279</v>
      </c>
      <c r="B100" s="22">
        <v>2.0</v>
      </c>
      <c r="C100" s="22">
        <v>2.0</v>
      </c>
      <c r="D100" s="22">
        <v>2.0</v>
      </c>
      <c r="E100" s="23"/>
      <c r="F100" s="22">
        <v>2.0</v>
      </c>
      <c r="G100" s="22">
        <v>2.0</v>
      </c>
      <c r="H100" s="22">
        <v>2.0</v>
      </c>
      <c r="I100" s="22">
        <v>2.0</v>
      </c>
      <c r="J100" s="22">
        <v>2.0</v>
      </c>
      <c r="K100" s="22">
        <v>2.0</v>
      </c>
      <c r="L100" s="22">
        <v>2.0</v>
      </c>
      <c r="M100" s="22">
        <v>2.0</v>
      </c>
      <c r="N100" s="22">
        <v>2.0</v>
      </c>
      <c r="O100" s="22">
        <v>2.0</v>
      </c>
      <c r="P100" s="22">
        <v>1.0</v>
      </c>
      <c r="Q100" s="22">
        <v>1.0</v>
      </c>
      <c r="R100" s="22">
        <v>1.0</v>
      </c>
      <c r="S100" s="22">
        <v>1.0</v>
      </c>
      <c r="T100" s="22">
        <v>1.0</v>
      </c>
      <c r="U100" s="22">
        <v>1.0</v>
      </c>
      <c r="V100" s="22">
        <v>1.0</v>
      </c>
      <c r="W100" s="22">
        <v>1.0</v>
      </c>
      <c r="X100" s="25"/>
      <c r="Y100" s="25"/>
    </row>
    <row r="101">
      <c r="A101" s="32" t="s">
        <v>280</v>
      </c>
      <c r="B101" s="22">
        <v>2.0</v>
      </c>
      <c r="C101" s="22">
        <v>2.0</v>
      </c>
      <c r="D101" s="22">
        <v>2.0</v>
      </c>
      <c r="E101" s="23"/>
      <c r="F101" s="22">
        <v>2.0</v>
      </c>
      <c r="G101" s="22">
        <v>0.0</v>
      </c>
      <c r="H101" s="22">
        <v>0.0</v>
      </c>
      <c r="I101" s="22">
        <v>0.0</v>
      </c>
      <c r="J101" s="22">
        <v>2.0</v>
      </c>
      <c r="K101" s="22">
        <v>2.0</v>
      </c>
      <c r="L101" s="22">
        <v>2.0</v>
      </c>
      <c r="M101" s="22">
        <v>2.0</v>
      </c>
      <c r="N101" s="22">
        <v>2.0</v>
      </c>
      <c r="O101" s="22">
        <v>2.0</v>
      </c>
      <c r="P101" s="22">
        <v>2.0</v>
      </c>
      <c r="Q101" s="22">
        <v>2.0</v>
      </c>
      <c r="R101" s="22">
        <v>2.0</v>
      </c>
      <c r="S101" s="22">
        <v>2.0</v>
      </c>
      <c r="T101" s="22">
        <v>2.0</v>
      </c>
      <c r="U101" s="22">
        <v>2.0</v>
      </c>
      <c r="V101" s="22">
        <v>2.0</v>
      </c>
      <c r="W101" s="22">
        <v>2.0</v>
      </c>
      <c r="X101" s="23"/>
      <c r="Y101" s="23"/>
    </row>
    <row r="102">
      <c r="A102" s="32" t="s">
        <v>281</v>
      </c>
      <c r="B102" s="22">
        <v>1.0</v>
      </c>
      <c r="C102" s="22">
        <v>1.0</v>
      </c>
      <c r="D102" s="22">
        <v>1.0</v>
      </c>
      <c r="E102" s="22">
        <v>1.0</v>
      </c>
      <c r="F102" s="22">
        <v>2.0</v>
      </c>
      <c r="G102" s="22">
        <v>2.0</v>
      </c>
      <c r="H102" s="22">
        <v>2.0</v>
      </c>
      <c r="I102" s="22">
        <v>2.0</v>
      </c>
      <c r="J102" s="22">
        <v>2.0</v>
      </c>
      <c r="K102" s="22">
        <v>2.0</v>
      </c>
      <c r="L102" s="22">
        <v>2.0</v>
      </c>
      <c r="M102" s="22">
        <v>2.0</v>
      </c>
      <c r="N102" s="22">
        <v>2.0</v>
      </c>
      <c r="O102" s="22">
        <v>2.0</v>
      </c>
      <c r="P102" s="22">
        <v>2.0</v>
      </c>
      <c r="Q102" s="22">
        <v>1.0</v>
      </c>
      <c r="R102" s="22">
        <v>2.0</v>
      </c>
      <c r="S102" s="22">
        <v>1.0</v>
      </c>
      <c r="T102" s="22">
        <v>1.0</v>
      </c>
      <c r="U102" s="22">
        <v>2.0</v>
      </c>
      <c r="V102" s="22">
        <v>1.0</v>
      </c>
      <c r="W102" s="22">
        <v>1.0</v>
      </c>
      <c r="X102" s="25"/>
      <c r="Y102" s="25"/>
    </row>
    <row r="103">
      <c r="A103" s="32" t="s">
        <v>282</v>
      </c>
      <c r="B103" s="22">
        <v>2.0</v>
      </c>
      <c r="C103" s="22">
        <v>1.0</v>
      </c>
      <c r="D103" s="22">
        <v>2.0</v>
      </c>
      <c r="E103" s="22">
        <v>1.0</v>
      </c>
      <c r="F103" s="22">
        <v>2.0</v>
      </c>
      <c r="G103" s="22">
        <v>2.0</v>
      </c>
      <c r="H103" s="22">
        <v>2.0</v>
      </c>
      <c r="I103" s="22">
        <v>2.0</v>
      </c>
      <c r="J103" s="22">
        <v>2.0</v>
      </c>
      <c r="K103" s="22">
        <v>2.0</v>
      </c>
      <c r="L103" s="22">
        <v>2.0</v>
      </c>
      <c r="M103" s="22">
        <v>2.0</v>
      </c>
      <c r="N103" s="22">
        <v>2.0</v>
      </c>
      <c r="O103" s="22">
        <v>2.0</v>
      </c>
      <c r="P103" s="22">
        <v>2.0</v>
      </c>
      <c r="Q103" s="22">
        <v>2.0</v>
      </c>
      <c r="R103" s="22">
        <v>2.0</v>
      </c>
      <c r="S103" s="22">
        <v>2.0</v>
      </c>
      <c r="T103" s="22">
        <v>2.0</v>
      </c>
      <c r="U103" s="22">
        <v>1.0</v>
      </c>
      <c r="V103" s="22">
        <v>2.0</v>
      </c>
      <c r="W103" s="22">
        <v>2.0</v>
      </c>
      <c r="X103" s="23"/>
      <c r="Y103" s="23"/>
    </row>
    <row r="104">
      <c r="A104" s="32" t="s">
        <v>283</v>
      </c>
      <c r="B104" s="22">
        <v>2.0</v>
      </c>
      <c r="C104" s="22">
        <v>2.0</v>
      </c>
      <c r="D104" s="22">
        <v>2.0</v>
      </c>
      <c r="E104" s="23"/>
      <c r="F104" s="22">
        <v>2.0</v>
      </c>
      <c r="G104" s="22">
        <v>0.0</v>
      </c>
      <c r="H104" s="22">
        <v>2.0</v>
      </c>
      <c r="I104" s="22">
        <v>1.0</v>
      </c>
      <c r="J104" s="22">
        <v>0.0</v>
      </c>
      <c r="K104" s="22">
        <v>2.0</v>
      </c>
      <c r="L104" s="22">
        <v>2.0</v>
      </c>
      <c r="M104" s="22">
        <v>2.0</v>
      </c>
      <c r="N104" s="22">
        <v>0.0</v>
      </c>
      <c r="O104" s="22">
        <v>2.0</v>
      </c>
      <c r="P104" s="22">
        <v>1.0</v>
      </c>
      <c r="Q104" s="22">
        <v>1.0</v>
      </c>
      <c r="R104" s="22">
        <v>1.0</v>
      </c>
      <c r="S104" s="22">
        <v>1.0</v>
      </c>
      <c r="T104" s="22">
        <v>1.0</v>
      </c>
      <c r="U104" s="22">
        <v>2.0</v>
      </c>
      <c r="V104" s="22">
        <v>1.0</v>
      </c>
      <c r="W104" s="22">
        <v>1.0</v>
      </c>
      <c r="X104" s="25"/>
      <c r="Y104" s="25"/>
    </row>
    <row r="105">
      <c r="A105" s="32" t="s">
        <v>284</v>
      </c>
      <c r="B105" s="22">
        <v>2.0</v>
      </c>
      <c r="C105" s="22">
        <v>2.0</v>
      </c>
      <c r="D105" s="22">
        <v>2.0</v>
      </c>
      <c r="E105" s="23"/>
      <c r="F105" s="22">
        <v>2.0</v>
      </c>
      <c r="G105" s="22">
        <v>2.0</v>
      </c>
      <c r="H105" s="22">
        <v>2.0</v>
      </c>
      <c r="I105" s="22">
        <v>2.0</v>
      </c>
      <c r="J105" s="22">
        <v>2.0</v>
      </c>
      <c r="K105" s="22">
        <v>1.0</v>
      </c>
      <c r="L105" s="22">
        <v>1.0</v>
      </c>
      <c r="M105" s="22">
        <v>1.0</v>
      </c>
      <c r="N105" s="22">
        <v>1.0</v>
      </c>
      <c r="O105" s="22">
        <v>2.0</v>
      </c>
      <c r="P105" s="22">
        <v>2.0</v>
      </c>
      <c r="Q105" s="22">
        <v>2.0</v>
      </c>
      <c r="R105" s="22">
        <v>2.0</v>
      </c>
      <c r="S105" s="22">
        <v>2.0</v>
      </c>
      <c r="T105" s="22">
        <v>2.0</v>
      </c>
      <c r="U105" s="22">
        <v>2.0</v>
      </c>
      <c r="V105" s="22">
        <v>2.0</v>
      </c>
      <c r="W105" s="22">
        <v>2.0</v>
      </c>
      <c r="X105" s="23"/>
      <c r="Y105" s="23"/>
    </row>
    <row r="106">
      <c r="A106" s="32" t="s">
        <v>285</v>
      </c>
      <c r="B106" s="22">
        <v>2.0</v>
      </c>
      <c r="C106" s="22">
        <v>2.0</v>
      </c>
      <c r="D106" s="22">
        <v>2.0</v>
      </c>
      <c r="E106" s="23"/>
      <c r="F106" s="22">
        <v>2.0</v>
      </c>
      <c r="G106" s="22">
        <v>2.0</v>
      </c>
      <c r="H106" s="22">
        <v>0.0</v>
      </c>
      <c r="I106" s="22">
        <v>0.0</v>
      </c>
      <c r="J106" s="22">
        <v>1.0</v>
      </c>
      <c r="K106" s="22">
        <v>2.0</v>
      </c>
      <c r="L106" s="22">
        <v>2.0</v>
      </c>
      <c r="M106" s="22">
        <v>2.0</v>
      </c>
      <c r="N106" s="22">
        <v>2.0</v>
      </c>
      <c r="O106" s="22">
        <v>0.0</v>
      </c>
      <c r="P106" s="22">
        <v>0.0</v>
      </c>
      <c r="Q106" s="22">
        <v>2.0</v>
      </c>
      <c r="R106" s="22">
        <v>2.0</v>
      </c>
      <c r="S106" s="22">
        <v>2.0</v>
      </c>
      <c r="T106" s="22">
        <v>2.0</v>
      </c>
      <c r="U106" s="22">
        <v>2.0</v>
      </c>
      <c r="V106" s="22">
        <v>2.0</v>
      </c>
      <c r="W106" s="22">
        <v>2.0</v>
      </c>
      <c r="X106" s="23"/>
      <c r="Y106" s="23"/>
    </row>
    <row r="107">
      <c r="A107" s="29" t="s">
        <v>286</v>
      </c>
      <c r="B107" s="22">
        <v>2.0</v>
      </c>
      <c r="C107" s="22">
        <v>1.0</v>
      </c>
      <c r="D107" s="22">
        <v>2.0</v>
      </c>
      <c r="E107" s="22">
        <v>1.0</v>
      </c>
      <c r="F107" s="22">
        <v>2.0</v>
      </c>
      <c r="G107" s="22">
        <v>0.0</v>
      </c>
      <c r="H107" s="22">
        <v>0.0</v>
      </c>
      <c r="I107" s="22">
        <v>2.0</v>
      </c>
      <c r="J107" s="22">
        <v>2.0</v>
      </c>
      <c r="K107" s="22">
        <v>2.0</v>
      </c>
      <c r="L107" s="22">
        <v>1.0</v>
      </c>
      <c r="M107" s="22">
        <v>2.0</v>
      </c>
      <c r="N107" s="22">
        <v>2.0</v>
      </c>
      <c r="O107" s="22">
        <v>2.0</v>
      </c>
      <c r="P107" s="22">
        <v>1.0</v>
      </c>
      <c r="Q107" s="22">
        <v>1.0</v>
      </c>
      <c r="R107" s="22">
        <v>2.0</v>
      </c>
      <c r="S107" s="22">
        <v>2.0</v>
      </c>
      <c r="T107" s="22">
        <v>0.0</v>
      </c>
      <c r="U107" s="22">
        <v>2.0</v>
      </c>
      <c r="V107" s="22">
        <v>2.0</v>
      </c>
      <c r="W107" s="22">
        <v>2.0</v>
      </c>
      <c r="X107" s="23"/>
      <c r="Y107" s="23"/>
    </row>
    <row r="108">
      <c r="A108" s="29" t="s">
        <v>287</v>
      </c>
      <c r="B108" s="22">
        <v>2.0</v>
      </c>
      <c r="C108" s="22">
        <v>2.0</v>
      </c>
      <c r="D108" s="22">
        <v>2.0</v>
      </c>
      <c r="E108" s="22">
        <v>1.0</v>
      </c>
      <c r="F108" s="22">
        <v>2.0</v>
      </c>
      <c r="G108" s="22">
        <v>2.0</v>
      </c>
      <c r="H108" s="22">
        <v>2.0</v>
      </c>
      <c r="I108" s="22">
        <v>1.0</v>
      </c>
      <c r="J108" s="22">
        <v>1.0</v>
      </c>
      <c r="K108" s="22">
        <v>2.0</v>
      </c>
      <c r="L108" s="22">
        <v>2.0</v>
      </c>
      <c r="M108" s="22">
        <v>2.0</v>
      </c>
      <c r="N108" s="22">
        <v>2.0</v>
      </c>
      <c r="O108" s="22">
        <v>2.0</v>
      </c>
      <c r="P108" s="22">
        <v>2.0</v>
      </c>
      <c r="Q108" s="22">
        <v>2.0</v>
      </c>
      <c r="R108" s="22">
        <v>2.0</v>
      </c>
      <c r="S108" s="22">
        <v>2.0</v>
      </c>
      <c r="T108" s="22">
        <v>0.0</v>
      </c>
      <c r="U108" s="22">
        <v>2.0</v>
      </c>
      <c r="V108" s="22">
        <v>2.0</v>
      </c>
      <c r="W108" s="22">
        <v>1.0</v>
      </c>
      <c r="X108" s="25"/>
      <c r="Y108" s="25"/>
    </row>
    <row r="109">
      <c r="A109" s="29" t="s">
        <v>288</v>
      </c>
      <c r="B109" s="22">
        <v>0.0</v>
      </c>
      <c r="C109" s="22">
        <v>2.0</v>
      </c>
      <c r="D109" s="22">
        <v>2.0</v>
      </c>
      <c r="E109" s="23"/>
      <c r="F109" s="22">
        <v>2.0</v>
      </c>
      <c r="G109" s="22">
        <v>2.0</v>
      </c>
      <c r="H109" s="22">
        <v>2.0</v>
      </c>
      <c r="I109" s="22">
        <v>2.0</v>
      </c>
      <c r="J109" s="22">
        <v>2.0</v>
      </c>
      <c r="K109" s="22">
        <v>1.0</v>
      </c>
      <c r="L109" s="22">
        <v>1.0</v>
      </c>
      <c r="M109" s="22">
        <v>1.0</v>
      </c>
      <c r="N109" s="22">
        <v>1.0</v>
      </c>
      <c r="O109" s="22">
        <v>2.0</v>
      </c>
      <c r="P109" s="22">
        <v>1.0</v>
      </c>
      <c r="Q109" s="22">
        <v>2.0</v>
      </c>
      <c r="R109" s="22">
        <v>2.0</v>
      </c>
      <c r="S109" s="22">
        <v>2.0</v>
      </c>
      <c r="T109" s="22">
        <v>1.0</v>
      </c>
      <c r="U109" s="22">
        <v>2.0</v>
      </c>
      <c r="V109" s="22">
        <v>2.0</v>
      </c>
      <c r="W109" s="22">
        <v>2.0</v>
      </c>
      <c r="X109" s="23"/>
      <c r="Y109" s="23"/>
    </row>
    <row r="110">
      <c r="A110" s="29" t="s">
        <v>289</v>
      </c>
      <c r="B110" s="22">
        <v>2.0</v>
      </c>
      <c r="C110" s="22">
        <v>1.0</v>
      </c>
      <c r="D110" s="22">
        <v>2.0</v>
      </c>
      <c r="E110" s="23"/>
      <c r="F110" s="22">
        <v>2.0</v>
      </c>
      <c r="G110" s="22">
        <v>2.0</v>
      </c>
      <c r="H110" s="22">
        <v>2.0</v>
      </c>
      <c r="I110" s="22">
        <v>2.0</v>
      </c>
      <c r="J110" s="22">
        <v>2.0</v>
      </c>
      <c r="K110" s="22">
        <v>2.0</v>
      </c>
      <c r="L110" s="22">
        <v>2.0</v>
      </c>
      <c r="M110" s="22">
        <v>2.0</v>
      </c>
      <c r="N110" s="22">
        <v>0.0</v>
      </c>
      <c r="O110" s="22">
        <v>1.0</v>
      </c>
      <c r="P110" s="22">
        <v>2.0</v>
      </c>
      <c r="Q110" s="22">
        <v>2.0</v>
      </c>
      <c r="R110" s="22">
        <v>2.0</v>
      </c>
      <c r="S110" s="22">
        <v>0.0</v>
      </c>
      <c r="T110" s="22">
        <v>0.0</v>
      </c>
      <c r="U110" s="22">
        <v>2.0</v>
      </c>
      <c r="V110" s="22">
        <v>2.0</v>
      </c>
      <c r="W110" s="22">
        <v>0.0</v>
      </c>
      <c r="X110" s="25"/>
      <c r="Y110" s="25"/>
    </row>
    <row r="111">
      <c r="A111" s="29" t="s">
        <v>290</v>
      </c>
      <c r="B111" s="22">
        <v>2.0</v>
      </c>
      <c r="C111" s="22">
        <v>2.0</v>
      </c>
      <c r="D111" s="22">
        <v>2.0</v>
      </c>
      <c r="E111" s="23"/>
      <c r="F111" s="22">
        <v>2.0</v>
      </c>
      <c r="G111" s="22">
        <v>2.0</v>
      </c>
      <c r="H111" s="22">
        <v>2.0</v>
      </c>
      <c r="I111" s="22">
        <v>1.0</v>
      </c>
      <c r="J111" s="22">
        <v>1.0</v>
      </c>
      <c r="K111" s="22">
        <v>1.0</v>
      </c>
      <c r="L111" s="22">
        <v>2.0</v>
      </c>
      <c r="M111" s="22">
        <v>2.0</v>
      </c>
      <c r="N111" s="22">
        <v>2.0</v>
      </c>
      <c r="O111" s="22">
        <v>2.0</v>
      </c>
      <c r="P111" s="22">
        <v>2.0</v>
      </c>
      <c r="Q111" s="22">
        <v>1.0</v>
      </c>
      <c r="R111" s="22">
        <v>2.0</v>
      </c>
      <c r="S111" s="22">
        <v>2.0</v>
      </c>
      <c r="T111" s="22">
        <v>2.0</v>
      </c>
      <c r="U111" s="22">
        <v>2.0</v>
      </c>
      <c r="V111" s="22">
        <v>2.0</v>
      </c>
      <c r="W111" s="22">
        <v>2.0</v>
      </c>
      <c r="X111" s="23"/>
      <c r="Y111" s="23"/>
    </row>
    <row r="112">
      <c r="A112" s="33" t="s">
        <v>291</v>
      </c>
      <c r="B112" s="22">
        <v>0.0</v>
      </c>
      <c r="C112" s="22">
        <v>2.0</v>
      </c>
      <c r="D112" s="22">
        <v>2.0</v>
      </c>
      <c r="E112" s="22">
        <v>0.0</v>
      </c>
      <c r="F112" s="22">
        <v>0.0</v>
      </c>
      <c r="G112" s="22">
        <v>0.0</v>
      </c>
      <c r="H112" s="22">
        <v>2.0</v>
      </c>
      <c r="I112" s="22">
        <v>0.0</v>
      </c>
      <c r="J112" s="22">
        <v>0.0</v>
      </c>
      <c r="K112" s="22">
        <v>1.0</v>
      </c>
      <c r="L112" s="22">
        <v>2.0</v>
      </c>
      <c r="M112" s="22">
        <v>2.0</v>
      </c>
      <c r="N112" s="22">
        <v>2.0</v>
      </c>
      <c r="O112" s="22">
        <v>2.0</v>
      </c>
      <c r="P112" s="22">
        <v>0.0</v>
      </c>
      <c r="Q112" s="22">
        <v>2.0</v>
      </c>
      <c r="R112" s="22">
        <v>2.0</v>
      </c>
      <c r="S112" s="22">
        <v>2.0</v>
      </c>
      <c r="T112" s="22">
        <v>1.0</v>
      </c>
      <c r="U112" s="22">
        <v>2.0</v>
      </c>
      <c r="V112" s="22">
        <v>2.0</v>
      </c>
      <c r="W112" s="22">
        <v>0.0</v>
      </c>
      <c r="X112" s="25"/>
      <c r="Y112" s="25"/>
    </row>
    <row r="113">
      <c r="A113" s="29" t="s">
        <v>292</v>
      </c>
      <c r="B113" s="22">
        <v>2.0</v>
      </c>
      <c r="C113" s="22">
        <v>2.0</v>
      </c>
      <c r="D113" s="22">
        <v>2.0</v>
      </c>
      <c r="E113" s="23"/>
      <c r="F113" s="22">
        <v>2.0</v>
      </c>
      <c r="G113" s="22">
        <v>2.0</v>
      </c>
      <c r="H113" s="22">
        <v>2.0</v>
      </c>
      <c r="I113" s="22">
        <v>2.0</v>
      </c>
      <c r="J113" s="22">
        <v>2.0</v>
      </c>
      <c r="K113" s="22">
        <v>2.0</v>
      </c>
      <c r="L113" s="22">
        <v>2.0</v>
      </c>
      <c r="M113" s="22">
        <v>2.0</v>
      </c>
      <c r="N113" s="22">
        <v>2.0</v>
      </c>
      <c r="O113" s="22">
        <v>2.0</v>
      </c>
      <c r="P113" s="22">
        <v>2.0</v>
      </c>
      <c r="Q113" s="22">
        <v>2.0</v>
      </c>
      <c r="R113" s="22">
        <v>2.0</v>
      </c>
      <c r="S113" s="22">
        <v>2.0</v>
      </c>
      <c r="T113" s="22">
        <v>2.0</v>
      </c>
      <c r="U113" s="22">
        <v>2.0</v>
      </c>
      <c r="V113" s="22">
        <v>2.0</v>
      </c>
      <c r="W113" s="22">
        <v>2.0</v>
      </c>
      <c r="X113" s="23"/>
      <c r="Y113" s="23"/>
    </row>
    <row r="114">
      <c r="A114" s="29" t="s">
        <v>293</v>
      </c>
      <c r="B114" s="22">
        <v>0.0</v>
      </c>
      <c r="C114" s="22">
        <v>2.0</v>
      </c>
      <c r="D114" s="22">
        <v>2.0</v>
      </c>
      <c r="E114" s="22">
        <v>1.0</v>
      </c>
      <c r="F114" s="22">
        <v>2.0</v>
      </c>
      <c r="G114" s="22">
        <v>2.0</v>
      </c>
      <c r="H114" s="22">
        <v>0.0</v>
      </c>
      <c r="I114" s="22">
        <v>0.0</v>
      </c>
      <c r="J114" s="22">
        <v>0.0</v>
      </c>
      <c r="K114" s="22">
        <v>2.0</v>
      </c>
      <c r="L114" s="22">
        <v>2.0</v>
      </c>
      <c r="M114" s="22">
        <v>2.0</v>
      </c>
      <c r="N114" s="22">
        <v>2.0</v>
      </c>
      <c r="O114" s="22">
        <v>2.0</v>
      </c>
      <c r="P114" s="22">
        <v>2.0</v>
      </c>
      <c r="Q114" s="22">
        <v>2.0</v>
      </c>
      <c r="R114" s="22">
        <v>2.0</v>
      </c>
      <c r="S114" s="22">
        <v>2.0</v>
      </c>
      <c r="T114" s="22">
        <v>2.0</v>
      </c>
      <c r="U114" s="22">
        <v>2.0</v>
      </c>
      <c r="V114" s="22">
        <v>2.0</v>
      </c>
      <c r="W114" s="22">
        <v>0.0</v>
      </c>
      <c r="X114" s="25"/>
      <c r="Y114" s="25"/>
    </row>
    <row r="115">
      <c r="A115" s="33" t="s">
        <v>294</v>
      </c>
      <c r="B115" s="22">
        <v>2.0</v>
      </c>
      <c r="C115" s="22">
        <v>2.0</v>
      </c>
      <c r="D115" s="22">
        <v>2.0</v>
      </c>
      <c r="E115" s="23"/>
      <c r="F115" s="22">
        <v>2.0</v>
      </c>
      <c r="G115" s="22">
        <v>2.0</v>
      </c>
      <c r="H115" s="22">
        <v>0.0</v>
      </c>
      <c r="I115" s="22">
        <v>0.0</v>
      </c>
      <c r="J115" s="22">
        <v>0.0</v>
      </c>
      <c r="K115" s="22">
        <v>2.0</v>
      </c>
      <c r="L115" s="22">
        <v>2.0</v>
      </c>
      <c r="M115" s="22">
        <v>0.0</v>
      </c>
      <c r="N115" s="22">
        <v>2.0</v>
      </c>
      <c r="O115" s="22">
        <v>2.0</v>
      </c>
      <c r="P115" s="22">
        <v>2.0</v>
      </c>
      <c r="Q115" s="22">
        <v>2.0</v>
      </c>
      <c r="R115" s="22">
        <v>2.0</v>
      </c>
      <c r="S115" s="22">
        <v>2.0</v>
      </c>
      <c r="T115" s="22">
        <v>2.0</v>
      </c>
      <c r="U115" s="22">
        <v>2.0</v>
      </c>
      <c r="V115" s="22">
        <v>2.0</v>
      </c>
      <c r="W115" s="22">
        <v>2.0</v>
      </c>
      <c r="X115" s="23"/>
      <c r="Y115" s="23"/>
    </row>
    <row r="116">
      <c r="A116" s="30" t="s">
        <v>295</v>
      </c>
      <c r="B116" s="22">
        <v>2.0</v>
      </c>
      <c r="C116" s="22">
        <v>2.0</v>
      </c>
      <c r="D116" s="22">
        <v>2.0</v>
      </c>
      <c r="E116" s="23"/>
      <c r="F116" s="22">
        <v>2.0</v>
      </c>
      <c r="G116" s="22">
        <v>2.0</v>
      </c>
      <c r="H116" s="22">
        <v>2.0</v>
      </c>
      <c r="I116" s="22">
        <v>2.0</v>
      </c>
      <c r="J116" s="22">
        <v>2.0</v>
      </c>
      <c r="K116" s="22">
        <v>2.0</v>
      </c>
      <c r="L116" s="22">
        <v>0.0</v>
      </c>
      <c r="M116" s="22">
        <v>2.0</v>
      </c>
      <c r="N116" s="22">
        <v>2.0</v>
      </c>
      <c r="O116" s="22">
        <v>2.0</v>
      </c>
      <c r="P116" s="22">
        <v>2.0</v>
      </c>
      <c r="Q116" s="22">
        <v>1.0</v>
      </c>
      <c r="R116" s="22">
        <v>1.0</v>
      </c>
      <c r="S116" s="22">
        <v>1.0</v>
      </c>
      <c r="T116" s="22">
        <v>1.0</v>
      </c>
      <c r="U116" s="22">
        <v>2.0</v>
      </c>
      <c r="V116" s="22">
        <v>2.0</v>
      </c>
      <c r="W116" s="22">
        <v>2.0</v>
      </c>
      <c r="X116" s="23"/>
      <c r="Y116" s="23"/>
    </row>
    <row r="117">
      <c r="A117" s="29" t="s">
        <v>296</v>
      </c>
      <c r="B117" s="22">
        <v>1.0</v>
      </c>
      <c r="C117" s="22">
        <v>0.0</v>
      </c>
      <c r="D117" s="22">
        <v>2.0</v>
      </c>
      <c r="E117" s="22">
        <v>0.0</v>
      </c>
      <c r="F117" s="22">
        <v>2.0</v>
      </c>
      <c r="G117" s="22">
        <v>2.0</v>
      </c>
      <c r="H117" s="22">
        <v>1.0</v>
      </c>
      <c r="I117" s="22">
        <v>2.0</v>
      </c>
      <c r="J117" s="22">
        <v>2.0</v>
      </c>
      <c r="K117" s="22">
        <v>1.0</v>
      </c>
      <c r="L117" s="22">
        <v>2.0</v>
      </c>
      <c r="M117" s="22">
        <v>2.0</v>
      </c>
      <c r="N117" s="22">
        <v>2.0</v>
      </c>
      <c r="O117" s="22">
        <v>2.0</v>
      </c>
      <c r="P117" s="22">
        <v>2.0</v>
      </c>
      <c r="Q117" s="22">
        <v>2.0</v>
      </c>
      <c r="R117" s="22">
        <v>2.0</v>
      </c>
      <c r="S117" s="22">
        <v>1.0</v>
      </c>
      <c r="T117" s="22">
        <v>1.0</v>
      </c>
      <c r="U117" s="22">
        <v>0.0</v>
      </c>
      <c r="V117" s="22">
        <v>2.0</v>
      </c>
      <c r="W117" s="22">
        <v>1.0</v>
      </c>
      <c r="X117" s="25"/>
      <c r="Y117" s="25"/>
    </row>
    <row r="120">
      <c r="A120" s="19" t="s">
        <v>297</v>
      </c>
      <c r="B120" s="34">
        <v>45931.0</v>
      </c>
      <c r="C120" s="34">
        <v>45932.0</v>
      </c>
      <c r="D120" s="34">
        <v>45933.0</v>
      </c>
      <c r="E120" s="34">
        <v>45934.0</v>
      </c>
      <c r="F120" s="34">
        <v>45937.0</v>
      </c>
      <c r="G120" s="35" t="s">
        <v>182</v>
      </c>
      <c r="H120" s="34">
        <v>45939.0</v>
      </c>
      <c r="I120" s="34">
        <v>45940.0</v>
      </c>
      <c r="J120" s="34">
        <v>45941.0</v>
      </c>
      <c r="K120" s="34">
        <v>45944.0</v>
      </c>
      <c r="L120" s="34">
        <v>45945.0</v>
      </c>
      <c r="M120" s="34">
        <v>45946.0</v>
      </c>
      <c r="N120" s="34">
        <v>45947.0</v>
      </c>
      <c r="O120" s="34">
        <v>45948.0</v>
      </c>
      <c r="P120" s="34">
        <v>45951.0</v>
      </c>
      <c r="Q120" s="34">
        <v>45952.0</v>
      </c>
      <c r="R120" s="34">
        <v>45953.0</v>
      </c>
      <c r="S120" s="34">
        <v>45954.0</v>
      </c>
      <c r="T120" s="34">
        <v>45955.0</v>
      </c>
      <c r="U120" s="34">
        <v>45958.0</v>
      </c>
      <c r="V120" s="34">
        <v>45959.0</v>
      </c>
      <c r="W120" s="34">
        <v>45960.0</v>
      </c>
      <c r="X120" s="36" t="s">
        <v>298</v>
      </c>
      <c r="Y120" s="36" t="s">
        <v>299</v>
      </c>
    </row>
    <row r="121">
      <c r="A121" s="37">
        <v>0.0</v>
      </c>
      <c r="B121" s="38">
        <f t="array" ref="B121:B124">FREQUENCY(B3:B117,A121:A123)</f>
        <v>6</v>
      </c>
      <c r="C121" s="23">
        <f t="array" ref="C121:C123">FREQUENCY(C3:C117,A121:A122)</f>
        <v>4</v>
      </c>
      <c r="D121" s="23">
        <f t="array" ref="D121:D124">FREQUENCY(D3:D117,A121:A123)</f>
        <v>1</v>
      </c>
      <c r="E121" s="23">
        <f t="array" ref="E121:E124">FREQUENCY(E3:E117,A121:A123)</f>
        <v>3</v>
      </c>
      <c r="F121" s="23">
        <f t="array" ref="F121:F124">FREQUENCY(F3:F117,A121:A123)</f>
        <v>6</v>
      </c>
      <c r="G121" s="23">
        <f t="array" ref="G121:G124">FREQUENCY(G3:G117,A121:A123)</f>
        <v>15</v>
      </c>
      <c r="H121" s="23">
        <f t="array" ref="H121:H124">FREQUENCY(H3:H117,A121:A123)</f>
        <v>40</v>
      </c>
      <c r="I121" s="23">
        <f t="array" ref="I121:I124">FREQUENCY(I3:I117,A121:A123)</f>
        <v>30</v>
      </c>
      <c r="J121" s="23">
        <f t="array" ref="J121:J124">FREQUENCY(J3:J117,A121:A123)</f>
        <v>22</v>
      </c>
      <c r="K121" s="23">
        <f t="array" ref="K121:K124">FREQUENCY(K3:K117,A121:A123)</f>
        <v>4</v>
      </c>
      <c r="L121" s="23">
        <f t="array" ref="L121:L124">FREQUENCY(L3:L117,A121:A123)</f>
        <v>12</v>
      </c>
      <c r="M121" s="23">
        <f t="array" ref="M121:M124">FREQUENCY(M3:M117,A121:A123)</f>
        <v>11</v>
      </c>
      <c r="N121" s="23">
        <f t="array" ref="N121:N124">FREQUENCY(N3:N117,A121:A123)</f>
        <v>22</v>
      </c>
      <c r="O121" s="23">
        <f t="array" ref="O121:O124">FREQUENCY(O3:O117,A121:A123)</f>
        <v>24</v>
      </c>
      <c r="P121" s="23">
        <f t="array" ref="P121:P124">FREQUENCY(P3:P117,A121:A123)</f>
        <v>16</v>
      </c>
      <c r="Q121" s="23">
        <f t="array" ref="Q121:Q124">FREQUENCY(Q3:Q117,A121:A123)</f>
        <v>5</v>
      </c>
      <c r="R121" s="23">
        <f t="array" ref="R121:R124">FREQUENCY(R3:R117,A121:A123)</f>
        <v>1</v>
      </c>
      <c r="S121" s="23">
        <f t="array" ref="S121:S124">FREQUENCY(S3:S117,A121:A123)</f>
        <v>30</v>
      </c>
      <c r="T121" s="23">
        <f t="array" ref="T121:T124">FREQUENCY(T3:T117,A121:A123)</f>
        <v>19</v>
      </c>
      <c r="U121" s="23">
        <f t="array" ref="U121:U123">FREQUENCY(U3:U117,A121:A122)</f>
        <v>19</v>
      </c>
      <c r="V121" s="23">
        <f t="array" ref="V121:V123">FREQUENCY(V3:V117,A121:A122)</f>
        <v>15</v>
      </c>
      <c r="W121" s="23">
        <f t="array" ref="W121:W123">FREQUENCY(W3:W117,A121:A122)</f>
        <v>16</v>
      </c>
      <c r="X121" s="39">
        <f t="shared" ref="X121:X122" si="1">AVERAGE(B121:W121)</f>
        <v>14.59090909</v>
      </c>
      <c r="Y121" s="19">
        <f>STDEV(B121:W121)</f>
        <v>10.57697</v>
      </c>
    </row>
    <row r="122">
      <c r="A122" s="37">
        <v>1.0</v>
      </c>
      <c r="B122" s="23">
        <v>19.0</v>
      </c>
      <c r="C122" s="23">
        <v>17.0</v>
      </c>
      <c r="D122" s="23">
        <v>17.0</v>
      </c>
      <c r="E122" s="23">
        <v>25.0</v>
      </c>
      <c r="F122" s="23">
        <v>7.0</v>
      </c>
      <c r="G122" s="23">
        <v>9.0</v>
      </c>
      <c r="H122" s="23">
        <v>12.0</v>
      </c>
      <c r="I122" s="23">
        <v>20.0</v>
      </c>
      <c r="J122" s="23">
        <v>30.0</v>
      </c>
      <c r="K122" s="23">
        <v>18.0</v>
      </c>
      <c r="L122" s="23">
        <v>8.0</v>
      </c>
      <c r="M122" s="23">
        <v>11.0</v>
      </c>
      <c r="N122" s="23">
        <v>15.0</v>
      </c>
      <c r="O122" s="23">
        <v>13.0</v>
      </c>
      <c r="P122" s="23">
        <v>16.0</v>
      </c>
      <c r="Q122" s="23">
        <v>34.0</v>
      </c>
      <c r="R122" s="23">
        <v>20.0</v>
      </c>
      <c r="S122" s="23">
        <v>12.0</v>
      </c>
      <c r="T122" s="23">
        <v>22.0</v>
      </c>
      <c r="U122" s="23">
        <v>8.0</v>
      </c>
      <c r="V122" s="23">
        <v>6.0</v>
      </c>
      <c r="W122" s="23">
        <v>13.0</v>
      </c>
      <c r="X122" s="39">
        <f t="shared" si="1"/>
        <v>16</v>
      </c>
      <c r="Y122" s="39">
        <f t="shared" ref="Y122:Y123" si="2">STDEV(B122:X122)</f>
        <v>7.128687244</v>
      </c>
    </row>
    <row r="123">
      <c r="A123" s="40">
        <v>2.0</v>
      </c>
      <c r="B123" s="23">
        <v>90.0</v>
      </c>
      <c r="C123" s="23">
        <v>94.0</v>
      </c>
      <c r="D123" s="23">
        <v>97.0</v>
      </c>
      <c r="E123" s="23">
        <v>0.0</v>
      </c>
      <c r="F123" s="23">
        <v>102.0</v>
      </c>
      <c r="G123" s="23">
        <v>91.0</v>
      </c>
      <c r="H123" s="23">
        <v>63.0</v>
      </c>
      <c r="I123" s="23">
        <v>65.0</v>
      </c>
      <c r="J123" s="23">
        <v>63.0</v>
      </c>
      <c r="K123" s="23">
        <v>93.0</v>
      </c>
      <c r="L123" s="23">
        <v>95.0</v>
      </c>
      <c r="M123" s="23">
        <v>93.0</v>
      </c>
      <c r="N123" s="23">
        <v>78.0</v>
      </c>
      <c r="O123" s="23">
        <v>78.0</v>
      </c>
      <c r="P123" s="23">
        <v>83.0</v>
      </c>
      <c r="Q123" s="23">
        <v>76.0</v>
      </c>
      <c r="R123" s="23">
        <v>94.0</v>
      </c>
      <c r="S123" s="23">
        <v>73.0</v>
      </c>
      <c r="T123" s="23">
        <v>74.0</v>
      </c>
      <c r="U123" s="23">
        <v>88.0</v>
      </c>
      <c r="V123" s="23">
        <v>94.0</v>
      </c>
      <c r="W123" s="23">
        <v>86.0</v>
      </c>
      <c r="X123" s="41"/>
      <c r="Y123" s="39">
        <f t="shared" si="2"/>
        <v>21.3379324</v>
      </c>
    </row>
    <row r="124">
      <c r="A124" s="23"/>
      <c r="B124" s="39">
        <v>0.0</v>
      </c>
      <c r="C124" s="39"/>
      <c r="D124" s="39">
        <v>0.0</v>
      </c>
      <c r="E124" s="39">
        <v>0.0</v>
      </c>
      <c r="F124" s="39">
        <v>0.0</v>
      </c>
      <c r="G124" s="39">
        <v>0.0</v>
      </c>
      <c r="H124" s="39">
        <v>0.0</v>
      </c>
      <c r="I124" s="39">
        <v>0.0</v>
      </c>
      <c r="J124" s="39">
        <v>0.0</v>
      </c>
      <c r="K124" s="39">
        <v>0.0</v>
      </c>
      <c r="L124" s="39">
        <v>0.0</v>
      </c>
      <c r="M124" s="39">
        <v>0.0</v>
      </c>
      <c r="N124" s="39">
        <v>0.0</v>
      </c>
      <c r="O124" s="39">
        <v>0.0</v>
      </c>
      <c r="P124" s="39">
        <v>0.0</v>
      </c>
      <c r="Q124" s="39">
        <v>0.0</v>
      </c>
      <c r="R124" s="39">
        <v>0.0</v>
      </c>
      <c r="S124" s="39">
        <v>0.0</v>
      </c>
      <c r="T124" s="39">
        <v>0.0</v>
      </c>
      <c r="U124" s="39"/>
      <c r="V124" s="39"/>
      <c r="W124" s="39"/>
      <c r="X124" s="39"/>
      <c r="Y124" s="39"/>
    </row>
    <row r="125">
      <c r="A125" s="42" t="s">
        <v>298</v>
      </c>
      <c r="B125" s="39">
        <f t="shared" ref="B125:S125" si="3">AVERAGE(B121:B122)</f>
        <v>12.5</v>
      </c>
      <c r="C125" s="39">
        <f t="shared" si="3"/>
        <v>10.5</v>
      </c>
      <c r="D125" s="39">
        <f t="shared" si="3"/>
        <v>9</v>
      </c>
      <c r="E125" s="39">
        <f t="shared" si="3"/>
        <v>14</v>
      </c>
      <c r="F125" s="39">
        <f t="shared" si="3"/>
        <v>6.5</v>
      </c>
      <c r="G125" s="39">
        <f t="shared" si="3"/>
        <v>12</v>
      </c>
      <c r="H125" s="39">
        <f t="shared" si="3"/>
        <v>26</v>
      </c>
      <c r="I125" s="39">
        <f t="shared" si="3"/>
        <v>25</v>
      </c>
      <c r="J125" s="39">
        <f t="shared" si="3"/>
        <v>26</v>
      </c>
      <c r="K125" s="39">
        <f t="shared" si="3"/>
        <v>11</v>
      </c>
      <c r="L125" s="39">
        <f t="shared" si="3"/>
        <v>10</v>
      </c>
      <c r="M125" s="39">
        <f t="shared" si="3"/>
        <v>11</v>
      </c>
      <c r="N125" s="39">
        <f t="shared" si="3"/>
        <v>18.5</v>
      </c>
      <c r="O125" s="39">
        <f t="shared" si="3"/>
        <v>18.5</v>
      </c>
      <c r="P125" s="39">
        <f t="shared" si="3"/>
        <v>16</v>
      </c>
      <c r="Q125" s="39">
        <f t="shared" si="3"/>
        <v>19.5</v>
      </c>
      <c r="R125" s="39">
        <f t="shared" si="3"/>
        <v>10.5</v>
      </c>
      <c r="S125" s="39">
        <f t="shared" si="3"/>
        <v>21</v>
      </c>
      <c r="T125" s="39">
        <f>average(T121:T122)</f>
        <v>20.5</v>
      </c>
      <c r="U125" s="39">
        <f t="shared" ref="U125:W125" si="4">AVERAGE(U121:U122)</f>
        <v>13.5</v>
      </c>
      <c r="V125" s="39">
        <f t="shared" si="4"/>
        <v>10.5</v>
      </c>
      <c r="W125" s="39">
        <f t="shared" si="4"/>
        <v>14.5</v>
      </c>
      <c r="X125" s="39">
        <f>AVERAGE(B125:W125,X121:X122)</f>
        <v>15.29545455</v>
      </c>
      <c r="Y125" s="39"/>
    </row>
    <row r="126">
      <c r="A126" s="22" t="s">
        <v>299</v>
      </c>
      <c r="B126" s="23">
        <f t="shared" ref="B126:X126" si="5">STDEV(B121:B122)</f>
        <v>9.192388155</v>
      </c>
      <c r="C126" s="23">
        <f t="shared" si="5"/>
        <v>9.192388155</v>
      </c>
      <c r="D126" s="23">
        <f t="shared" si="5"/>
        <v>11.3137085</v>
      </c>
      <c r="E126" s="23">
        <f t="shared" si="5"/>
        <v>15.55634919</v>
      </c>
      <c r="F126" s="23">
        <f t="shared" si="5"/>
        <v>0.7071067812</v>
      </c>
      <c r="G126" s="23">
        <f t="shared" si="5"/>
        <v>4.242640687</v>
      </c>
      <c r="H126" s="23">
        <f t="shared" si="5"/>
        <v>19.79898987</v>
      </c>
      <c r="I126" s="23">
        <f t="shared" si="5"/>
        <v>7.071067812</v>
      </c>
      <c r="J126" s="23">
        <f t="shared" si="5"/>
        <v>5.656854249</v>
      </c>
      <c r="K126" s="23">
        <f t="shared" si="5"/>
        <v>9.899494937</v>
      </c>
      <c r="L126" s="23">
        <f t="shared" si="5"/>
        <v>2.828427125</v>
      </c>
      <c r="M126" s="23">
        <f t="shared" si="5"/>
        <v>0</v>
      </c>
      <c r="N126" s="23">
        <f t="shared" si="5"/>
        <v>4.949747468</v>
      </c>
      <c r="O126" s="23">
        <f t="shared" si="5"/>
        <v>7.778174593</v>
      </c>
      <c r="P126" s="23">
        <f t="shared" si="5"/>
        <v>0</v>
      </c>
      <c r="Q126" s="23">
        <f t="shared" si="5"/>
        <v>20.50609665</v>
      </c>
      <c r="R126" s="23">
        <f t="shared" si="5"/>
        <v>13.43502884</v>
      </c>
      <c r="S126" s="22">
        <f t="shared" si="5"/>
        <v>12.72792206</v>
      </c>
      <c r="T126" s="23">
        <f t="shared" si="5"/>
        <v>2.121320344</v>
      </c>
      <c r="U126" s="23">
        <f t="shared" si="5"/>
        <v>7.778174593</v>
      </c>
      <c r="V126" s="23">
        <f t="shared" si="5"/>
        <v>6.363961031</v>
      </c>
      <c r="W126" s="23">
        <f t="shared" si="5"/>
        <v>2.121320344</v>
      </c>
      <c r="X126" s="23">
        <f t="shared" si="5"/>
        <v>0.9963777371</v>
      </c>
      <c r="Y126" s="23"/>
    </row>
    <row r="128">
      <c r="A128" s="22" t="s">
        <v>300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</row>
    <row r="129">
      <c r="A129" s="40">
        <v>0.0</v>
      </c>
      <c r="B129" s="43">
        <f>IFERROR(__xludf.DUMMYFUNCTION("PERCENTIF(B3:B117,A129:A131)"),0.05217391304347826)</f>
        <v>0.05217391304</v>
      </c>
      <c r="C129" s="43">
        <f>IFERROR(__xludf.DUMMYFUNCTION("PERCENTIF(C3:C117,A129:A131)"),0.034782608695652174)</f>
        <v>0.0347826087</v>
      </c>
      <c r="D129" s="43">
        <f>IFERROR(__xludf.DUMMYFUNCTION("PERCENTIF(D3:D117,A129:A131)"),0.008695652173913044)</f>
        <v>0.008695652174</v>
      </c>
      <c r="E129" s="43">
        <f>IFERROR(__xludf.DUMMYFUNCTION("PERCENTIF(D3:D117,A129:A131)"),0.008695652173913044)</f>
        <v>0.008695652174</v>
      </c>
      <c r="F129" s="43">
        <f>IFERROR(__xludf.DUMMYFUNCTION("PERCENTIF(F3:F117,A129:A131)"),0.05217391304347826)</f>
        <v>0.05217391304</v>
      </c>
      <c r="G129" s="43">
        <f>IFERROR(__xludf.DUMMYFUNCTION("PERCENTIF(G3:G117,A129:A131)"),0.13043478260869565)</f>
        <v>0.1304347826</v>
      </c>
      <c r="H129" s="43">
        <f>IFERROR(__xludf.DUMMYFUNCTION("PERCENTIF(H3:H117,A129:A131)"),0.34782608695652173)</f>
        <v>0.347826087</v>
      </c>
      <c r="I129" s="43">
        <f>IFERROR(__xludf.DUMMYFUNCTION("PERCENTIF(I3:I117,A129:A131)"),0.2608695652173913)</f>
        <v>0.2608695652</v>
      </c>
      <c r="J129" s="43">
        <f>IFERROR(__xludf.DUMMYFUNCTION("PERCENTIF(J3:J117,A129:A131)"),0.19130434782608696)</f>
        <v>0.1913043478</v>
      </c>
      <c r="K129" s="43">
        <f>IFERROR(__xludf.DUMMYFUNCTION("PERCENTIF(K3:K117,A129:A131)"),0.034782608695652174)</f>
        <v>0.0347826087</v>
      </c>
      <c r="L129" s="43">
        <f>IFERROR(__xludf.DUMMYFUNCTION("PERCENTIF(L3:L117,A129:A131)"),0.10434782608695652)</f>
        <v>0.1043478261</v>
      </c>
      <c r="M129" s="43">
        <f>IFERROR(__xludf.DUMMYFUNCTION("PERCENTIF(M3:M117,A129:A131)"),0.09565217391304348)</f>
        <v>0.09565217391</v>
      </c>
      <c r="N129" s="43">
        <f>IFERROR(__xludf.DUMMYFUNCTION("PERCENTIF(N3:N117,A129:A131)"),0.19130434782608696)</f>
        <v>0.1913043478</v>
      </c>
      <c r="O129" s="43">
        <f>IFERROR(__xludf.DUMMYFUNCTION("PERCENTIF(O3:O117,A129:A131)"),0.20869565217391303)</f>
        <v>0.2086956522</v>
      </c>
      <c r="P129" s="43">
        <f>IFERROR(__xludf.DUMMYFUNCTION("PERCENTIF(P3:P117,A129:A131)"),0.1391304347826087)</f>
        <v>0.1391304348</v>
      </c>
      <c r="Q129" s="43">
        <f>IFERROR(__xludf.DUMMYFUNCTION("PERCENTIF(Q3:Q117,A129:A131)"),0.043478260869565216)</f>
        <v>0.04347826087</v>
      </c>
      <c r="R129" s="43">
        <f>IFERROR(__xludf.DUMMYFUNCTION("PERCENTIF(R3:R117,A129:A131)"),0.008695652173913044)</f>
        <v>0.008695652174</v>
      </c>
      <c r="S129" s="43">
        <f>IFERROR(__xludf.DUMMYFUNCTION("PERCENTIF(S3:S117,A129:A131)"),0.2608695652173913)</f>
        <v>0.2608695652</v>
      </c>
      <c r="T129" s="43">
        <f>IFERROR(__xludf.DUMMYFUNCTION("PERCENTIF(T3:T117,A129:A131)"),0.16521739130434782)</f>
        <v>0.1652173913</v>
      </c>
      <c r="U129" s="43">
        <f>IFERROR(__xludf.DUMMYFUNCTION("PERCENTIF(U3:U117,A129:A131)"),0.16521739130434782)</f>
        <v>0.1652173913</v>
      </c>
      <c r="V129" s="43">
        <f>IFERROR(__xludf.DUMMYFUNCTION("PERCENTIF(V3:V117,A129:A131)"),0.13043478260869565)</f>
        <v>0.1304347826</v>
      </c>
      <c r="W129" s="43">
        <f>IFERROR(__xludf.DUMMYFUNCTION("PERCENTIF(W3:W117,A129:A131)"),0.1391304347826087)</f>
        <v>0.1391304348</v>
      </c>
    </row>
    <row r="130">
      <c r="A130" s="40">
        <v>1.0</v>
      </c>
      <c r="B130" s="43">
        <f>IFERROR(__xludf.DUMMYFUNCTION("PERCENTIF(B3:B117,A129:A131)"),0.16521739130434782)</f>
        <v>0.1652173913</v>
      </c>
      <c r="C130" s="43">
        <f>IFERROR(__xludf.DUMMYFUNCTION("PERCENTIF(C3:C117,A130:A132)"),0.14782608695652175)</f>
        <v>0.147826087</v>
      </c>
      <c r="D130" s="43">
        <f>IFERROR(__xludf.DUMMYFUNCTION("PERCENTIF(D3:D117,A129:A131)"),0.14782608695652175)</f>
        <v>0.147826087</v>
      </c>
      <c r="E130" s="43">
        <f>IFERROR(__xludf.DUMMYFUNCTION("PERCENTIF(D3:D117,A129:A131)"),0.14782608695652175)</f>
        <v>0.147826087</v>
      </c>
      <c r="F130" s="43">
        <f>IFERROR(__xludf.DUMMYFUNCTION("PERCENTIF(F3:F117,A129:A131)"),0.06086956521739131)</f>
        <v>0.06086956522</v>
      </c>
      <c r="G130" s="43">
        <f>IFERROR(__xludf.DUMMYFUNCTION("PERCENTIF(G3:G117,A129:A131)"),0.0782608695652174)</f>
        <v>0.07826086957</v>
      </c>
      <c r="H130" s="43">
        <f>IFERROR(__xludf.DUMMYFUNCTION("PERCENTIF(H3:H117,A129:A131)"),0.10434782608695652)</f>
        <v>0.1043478261</v>
      </c>
      <c r="I130" s="43">
        <f>IFERROR(__xludf.DUMMYFUNCTION("PERCENTIF(I3:I117,A129:A131)"),0.17391304347826086)</f>
        <v>0.1739130435</v>
      </c>
      <c r="J130" s="43">
        <f>IFERROR(__xludf.DUMMYFUNCTION("PERCENTIF(J3:J117,A129:A131)"),0.2608695652173913)</f>
        <v>0.2608695652</v>
      </c>
      <c r="K130" s="43">
        <f>IFERROR(__xludf.DUMMYFUNCTION("PERCENTIF(K3:K117,A129:A131)"),0.1565217391304348)</f>
        <v>0.1565217391</v>
      </c>
      <c r="L130" s="43">
        <f>IFERROR(__xludf.DUMMYFUNCTION("PERCENTIF(L3:L117,A130:A132)"),0.06956521739130435)</f>
        <v>0.06956521739</v>
      </c>
      <c r="M130" s="43">
        <f>IFERROR(__xludf.DUMMYFUNCTION("PERCENTIF(M3:M117,A129:A131)"),0.09565217391304348)</f>
        <v>0.09565217391</v>
      </c>
      <c r="N130" s="43">
        <f>IFERROR(__xludf.DUMMYFUNCTION("PERCENTIF(N3:N117,A129:A131)"),0.13043478260869565)</f>
        <v>0.1304347826</v>
      </c>
      <c r="O130" s="44">
        <f>IFERROR(__xludf.DUMMYFUNCTION("PERCENTIF(O3:O117,A129:A131)"),0.11304347826086956)</f>
        <v>0.1130434783</v>
      </c>
      <c r="P130" s="43">
        <f>IFERROR(__xludf.DUMMYFUNCTION("PERCENTIF(P3:P117,A129:A131)"),0.1391304347826087)</f>
        <v>0.1391304348</v>
      </c>
      <c r="Q130" s="43">
        <f>IFERROR(__xludf.DUMMYFUNCTION("PERCENTIF(Q3:Q117,A129:A131)"),0.2956521739130435)</f>
        <v>0.2956521739</v>
      </c>
      <c r="R130" s="43">
        <f>IFERROR(__xludf.DUMMYFUNCTION("PERCENTIF(R3:R117,A129:A131)"),0.17391304347826086)</f>
        <v>0.1739130435</v>
      </c>
      <c r="S130" s="43">
        <f>IFERROR(__xludf.DUMMYFUNCTION("PERCENTIF(S3:S117,A129:A131)"),0.10434782608695652)</f>
        <v>0.1043478261</v>
      </c>
      <c r="T130" s="43">
        <f>IFERROR(__xludf.DUMMYFUNCTION("PERCENTIF(T3:T117,A129:A131)"),0.19130434782608696)</f>
        <v>0.1913043478</v>
      </c>
      <c r="U130" s="43">
        <f>IFERROR(__xludf.DUMMYFUNCTION("PERCENTIF(U3:U117,A129:A131)"),0.06956521739130435)</f>
        <v>0.06956521739</v>
      </c>
      <c r="V130" s="43">
        <f>IFERROR(__xludf.DUMMYFUNCTION("PERCENTIF(V3:V117,A129:A131)"),0.05217391304347826)</f>
        <v>0.05217391304</v>
      </c>
      <c r="W130" s="43">
        <f>IFERROR(__xludf.DUMMYFUNCTION("PERCENTIF(W3:W117,A129:A131)"),0.11304347826086956)</f>
        <v>0.1130434783</v>
      </c>
    </row>
    <row r="131">
      <c r="A131" s="40">
        <v>2.0</v>
      </c>
      <c r="B131" s="43">
        <f>IFERROR(__xludf.DUMMYFUNCTION("PERCENTIF(B3:B117,A129:A131)"),0.782608695652174)</f>
        <v>0.7826086957</v>
      </c>
      <c r="C131" s="43">
        <f>IFERROR(__xludf.DUMMYFUNCTION("PERCENTIF(C3:C117,A131:A133)"),0.8173913043478261)</f>
        <v>0.8173913043</v>
      </c>
      <c r="D131" s="43">
        <f>IFERROR(__xludf.DUMMYFUNCTION("PERCENTIF(D3:D117,A129:A131)"),0.8434782608695652)</f>
        <v>0.8434782609</v>
      </c>
      <c r="E131" s="43">
        <f>IFERROR(__xludf.DUMMYFUNCTION("PERCENTIF(D3:D117,A129:A131)"),0.8434782608695652)</f>
        <v>0.8434782609</v>
      </c>
      <c r="F131" s="43">
        <f>IFERROR(__xludf.DUMMYFUNCTION("PERCENTIF(F3:F117,A129:A131)"),0.8869565217391304)</f>
        <v>0.8869565217</v>
      </c>
      <c r="G131" s="43">
        <f>IFERROR(__xludf.DUMMYFUNCTION("PERCENTIF(G3:G117,A129:A131)"),0.7913043478260869)</f>
        <v>0.7913043478</v>
      </c>
      <c r="H131" s="43">
        <f>IFERROR(__xludf.DUMMYFUNCTION("PERCENTIF(H3:H117,A129:A131)"),0.5478260869565217)</f>
        <v>0.547826087</v>
      </c>
      <c r="I131" s="43">
        <f>IFERROR(__xludf.DUMMYFUNCTION("PERCENTIF(I3:I117,A129:A131)"),0.5652173913043478)</f>
        <v>0.5652173913</v>
      </c>
      <c r="J131" s="43">
        <f>IFERROR(__xludf.DUMMYFUNCTION("PERCENTIF(J3:J117,A129:A131)"),0.5478260869565217)</f>
        <v>0.547826087</v>
      </c>
      <c r="K131" s="43">
        <f>IFERROR(__xludf.DUMMYFUNCTION("PERCENTIF(K3:K117,A129:A131)"),0.808695652173913)</f>
        <v>0.8086956522</v>
      </c>
      <c r="L131" s="43">
        <f>IFERROR(__xludf.DUMMYFUNCTION("PERCENTIF(L3:L117,A131:A133)"),0.8260869565217391)</f>
        <v>0.8260869565</v>
      </c>
      <c r="M131" s="43">
        <f>IFERROR(__xludf.DUMMYFUNCTION("PERCENTIF(M3:M117,A129:A131)"),0.808695652173913)</f>
        <v>0.8086956522</v>
      </c>
      <c r="N131" s="43">
        <f>IFERROR(__xludf.DUMMYFUNCTION("PERCENTIF(N3:N117,A129:A131)"),0.6782608695652174)</f>
        <v>0.6782608696</v>
      </c>
      <c r="O131" s="44">
        <f>IFERROR(__xludf.DUMMYFUNCTION("PERCENTIF(O3:O117,A129:A131)"),0.6782608695652174)</f>
        <v>0.6782608696</v>
      </c>
      <c r="P131" s="43">
        <f>IFERROR(__xludf.DUMMYFUNCTION("PERCENTIF(P3:P117,A129:A131)"),0.7217391304347827)</f>
        <v>0.7217391304</v>
      </c>
      <c r="Q131" s="43">
        <f>IFERROR(__xludf.DUMMYFUNCTION("PERCENTIF(Q3:Q117,A129:A131)"),0.6608695652173913)</f>
        <v>0.6608695652</v>
      </c>
      <c r="R131" s="43">
        <f>IFERROR(__xludf.DUMMYFUNCTION("PERCENTIF(R3:R117,A129:A131)"),0.8173913043478261)</f>
        <v>0.8173913043</v>
      </c>
      <c r="S131" s="43">
        <f>IFERROR(__xludf.DUMMYFUNCTION("PERCENTIF(S3:S117,A129:A131)"),0.6347826086956522)</f>
        <v>0.6347826087</v>
      </c>
      <c r="T131" s="43">
        <f>IFERROR(__xludf.DUMMYFUNCTION("PERCENTIF(T3:T117,A129:A131)"),0.6434782608695652)</f>
        <v>0.6434782609</v>
      </c>
      <c r="U131" s="43">
        <f>IFERROR(__xludf.DUMMYFUNCTION("PERCENTIF(U3:U117,A129:A131)"),0.7652173913043478)</f>
        <v>0.7652173913</v>
      </c>
      <c r="V131" s="43">
        <f>IFERROR(__xludf.DUMMYFUNCTION("PERCENTIF(V3:V117,A129:A131)"),0.8173913043478261)</f>
        <v>0.8173913043</v>
      </c>
      <c r="W131" s="43">
        <f>IFERROR(__xludf.DUMMYFUNCTION("PERCENTIF(W3:W117,A129:A131)"),0.7478260869565218)</f>
        <v>0.747826087</v>
      </c>
    </row>
    <row r="132">
      <c r="A132" s="45" t="s">
        <v>301</v>
      </c>
      <c r="B132" s="43">
        <f t="shared" ref="B132:W132" si="6">SUM(B129:B131)</f>
        <v>1</v>
      </c>
      <c r="C132" s="43">
        <f t="shared" si="6"/>
        <v>1</v>
      </c>
      <c r="D132" s="43">
        <f t="shared" si="6"/>
        <v>1</v>
      </c>
      <c r="E132" s="43">
        <f t="shared" si="6"/>
        <v>1</v>
      </c>
      <c r="F132" s="43">
        <f t="shared" si="6"/>
        <v>1</v>
      </c>
      <c r="G132" s="43">
        <f t="shared" si="6"/>
        <v>1</v>
      </c>
      <c r="H132" s="43">
        <f t="shared" si="6"/>
        <v>1</v>
      </c>
      <c r="I132" s="43">
        <f t="shared" si="6"/>
        <v>1</v>
      </c>
      <c r="J132" s="43">
        <f t="shared" si="6"/>
        <v>1</v>
      </c>
      <c r="K132" s="43">
        <f t="shared" si="6"/>
        <v>1</v>
      </c>
      <c r="L132" s="43">
        <f t="shared" si="6"/>
        <v>1</v>
      </c>
      <c r="M132" s="43">
        <f t="shared" si="6"/>
        <v>1</v>
      </c>
      <c r="N132" s="43">
        <f t="shared" si="6"/>
        <v>1</v>
      </c>
      <c r="O132" s="43">
        <f t="shared" si="6"/>
        <v>1</v>
      </c>
      <c r="P132" s="43">
        <f t="shared" si="6"/>
        <v>1</v>
      </c>
      <c r="Q132" s="43">
        <f t="shared" si="6"/>
        <v>1</v>
      </c>
      <c r="R132" s="43">
        <f t="shared" si="6"/>
        <v>1</v>
      </c>
      <c r="S132" s="43">
        <f t="shared" si="6"/>
        <v>1</v>
      </c>
      <c r="T132" s="43">
        <f t="shared" si="6"/>
        <v>1</v>
      </c>
      <c r="U132" s="43">
        <f t="shared" si="6"/>
        <v>1</v>
      </c>
      <c r="V132" s="43">
        <f t="shared" si="6"/>
        <v>1</v>
      </c>
      <c r="W132" s="43">
        <f t="shared" si="6"/>
        <v>1</v>
      </c>
    </row>
    <row r="136">
      <c r="A136" s="23"/>
      <c r="B136" s="22" t="s">
        <v>302</v>
      </c>
      <c r="C136" s="22" t="s">
        <v>303</v>
      </c>
    </row>
    <row r="137">
      <c r="A137" s="22" t="s">
        <v>304</v>
      </c>
      <c r="B137" s="23">
        <f>COUNTA(A3:A28)</f>
        <v>26</v>
      </c>
      <c r="C137" s="46">
        <v>0.23</v>
      </c>
    </row>
    <row r="138">
      <c r="A138" s="22" t="s">
        <v>305</v>
      </c>
      <c r="B138" s="23">
        <f>COUNTA(A29:A42)</f>
        <v>14</v>
      </c>
      <c r="C138" s="47">
        <v>0.12</v>
      </c>
    </row>
    <row r="139">
      <c r="A139" s="22" t="s">
        <v>306</v>
      </c>
      <c r="B139" s="23">
        <f>COUNTA(A43:A81)</f>
        <v>39</v>
      </c>
      <c r="C139" s="48">
        <v>0.34</v>
      </c>
    </row>
    <row r="140">
      <c r="A140" s="22" t="s">
        <v>307</v>
      </c>
      <c r="B140" s="23">
        <f>COUNTA(A82:A117)</f>
        <v>36</v>
      </c>
      <c r="C140" s="46">
        <v>0.31</v>
      </c>
    </row>
    <row r="141">
      <c r="A141" s="49" t="s">
        <v>301</v>
      </c>
      <c r="B141" s="50">
        <f t="shared" ref="B141:C141" si="7">SUM(B137:B140)</f>
        <v>115</v>
      </c>
      <c r="C141" s="51">
        <f t="shared" si="7"/>
        <v>1</v>
      </c>
    </row>
  </sheetData>
  <conditionalFormatting sqref="A2:W117">
    <cfRule type="cellIs" dxfId="5" priority="1" operator="equal">
      <formula>1</formula>
    </cfRule>
  </conditionalFormatting>
  <conditionalFormatting sqref="A2:W117">
    <cfRule type="cellIs" dxfId="6" priority="2" operator="equal">
      <formula>0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7" max="8" width="17.75"/>
    <col customWidth="1" min="11" max="11" width="17.5"/>
    <col customWidth="1" min="12" max="13" width="18.75"/>
    <col customWidth="1" min="14" max="14" width="16.63"/>
    <col customWidth="1" min="15" max="15" width="23.75"/>
    <col customWidth="1" min="16" max="16" width="29.63"/>
    <col customWidth="1" min="21" max="21" width="22.25"/>
    <col customWidth="1" min="23" max="23" width="37.5"/>
    <col customWidth="1" min="24" max="24" width="42.0"/>
    <col customWidth="1" min="25" max="25" width="33.0"/>
  </cols>
  <sheetData>
    <row r="1">
      <c r="A1" s="16" t="s">
        <v>308</v>
      </c>
    </row>
    <row r="2">
      <c r="A2" s="16" t="s">
        <v>309</v>
      </c>
      <c r="B2" s="52" t="s">
        <v>310</v>
      </c>
      <c r="E2" s="53"/>
      <c r="F2" s="53"/>
      <c r="G2" s="54"/>
      <c r="H2" s="54" t="s">
        <v>311</v>
      </c>
      <c r="Q2" s="55"/>
      <c r="R2" s="55"/>
    </row>
    <row r="3">
      <c r="B3" s="56" t="s">
        <v>312</v>
      </c>
      <c r="C3" s="56"/>
      <c r="D3" s="56" t="s">
        <v>313</v>
      </c>
      <c r="E3" s="53"/>
      <c r="F3" s="53"/>
      <c r="G3" s="56"/>
      <c r="H3" s="56" t="s">
        <v>312</v>
      </c>
      <c r="I3" s="56" t="s">
        <v>313</v>
      </c>
      <c r="K3" s="16" t="s">
        <v>314</v>
      </c>
    </row>
    <row r="4">
      <c r="A4" s="57" t="s">
        <v>208</v>
      </c>
      <c r="B4" s="58">
        <v>0.0</v>
      </c>
      <c r="C4" s="59"/>
      <c r="D4" s="59">
        <v>2.0</v>
      </c>
      <c r="E4" s="53"/>
      <c r="F4" s="53"/>
      <c r="G4" s="60"/>
      <c r="H4" s="60">
        <v>3.0</v>
      </c>
      <c r="I4" s="60">
        <v>1.0</v>
      </c>
      <c r="K4" s="16" t="s">
        <v>315</v>
      </c>
    </row>
    <row r="5">
      <c r="A5" s="53" t="s">
        <v>252</v>
      </c>
      <c r="B5" s="56">
        <v>3.0</v>
      </c>
      <c r="C5" s="61"/>
      <c r="D5" s="61">
        <v>0.0</v>
      </c>
      <c r="E5" s="53"/>
      <c r="F5" s="53"/>
      <c r="G5" s="56"/>
      <c r="H5" s="56">
        <v>0.0</v>
      </c>
      <c r="I5" s="56">
        <v>0.0</v>
      </c>
      <c r="O5" s="53"/>
      <c r="P5" s="62"/>
      <c r="Q5" s="62"/>
      <c r="R5" s="62"/>
      <c r="S5" s="62"/>
      <c r="T5" s="62"/>
    </row>
    <row r="6">
      <c r="A6" s="63" t="s">
        <v>192</v>
      </c>
      <c r="B6" s="58">
        <v>8.0</v>
      </c>
      <c r="C6" s="59"/>
      <c r="D6" s="59">
        <v>2.0</v>
      </c>
      <c r="E6" s="53"/>
      <c r="F6" s="53"/>
      <c r="G6" s="60"/>
      <c r="H6" s="60">
        <v>2.0</v>
      </c>
      <c r="I6" s="60">
        <v>2.0</v>
      </c>
      <c r="K6" s="64"/>
      <c r="L6" s="65"/>
      <c r="M6" s="65" t="s">
        <v>312</v>
      </c>
      <c r="N6" s="65" t="s">
        <v>313</v>
      </c>
      <c r="O6" s="53"/>
    </row>
    <row r="7">
      <c r="A7" s="66" t="s">
        <v>220</v>
      </c>
      <c r="B7" s="56">
        <v>0.0</v>
      </c>
      <c r="C7" s="61"/>
      <c r="D7" s="61">
        <v>1.0</v>
      </c>
      <c r="E7" s="53"/>
      <c r="F7" s="53"/>
      <c r="G7" s="56"/>
      <c r="H7" s="56">
        <v>10.0</v>
      </c>
      <c r="I7" s="56">
        <v>1.0</v>
      </c>
      <c r="K7" s="16" t="s">
        <v>316</v>
      </c>
      <c r="L7" s="67"/>
      <c r="M7" s="67">
        <v>3.075</v>
      </c>
      <c r="N7" s="67">
        <v>2.9125</v>
      </c>
    </row>
    <row r="8">
      <c r="A8" s="68" t="s">
        <v>226</v>
      </c>
      <c r="B8" s="58">
        <v>0.0</v>
      </c>
      <c r="C8" s="59"/>
      <c r="D8" s="59">
        <v>2.0</v>
      </c>
      <c r="E8" s="53"/>
      <c r="F8" s="53"/>
      <c r="G8" s="60"/>
      <c r="H8" s="60">
        <v>6.0</v>
      </c>
      <c r="I8" s="60">
        <v>4.0</v>
      </c>
      <c r="K8" s="16" t="s">
        <v>317</v>
      </c>
      <c r="L8" s="67"/>
      <c r="M8" s="67">
        <v>9.10822784810127</v>
      </c>
      <c r="N8" s="67">
        <v>13.574525316455688</v>
      </c>
    </row>
    <row r="9">
      <c r="A9" s="69" t="s">
        <v>247</v>
      </c>
      <c r="B9" s="56">
        <v>4.0</v>
      </c>
      <c r="C9" s="61"/>
      <c r="D9" s="61">
        <v>3.0</v>
      </c>
      <c r="E9" s="53"/>
      <c r="F9" s="53"/>
      <c r="G9" s="56"/>
      <c r="H9" s="56">
        <v>2.0</v>
      </c>
      <c r="I9" s="56">
        <v>0.0</v>
      </c>
      <c r="K9" s="16" t="s">
        <v>318</v>
      </c>
      <c r="L9" s="67"/>
      <c r="M9" s="67">
        <v>80.0</v>
      </c>
      <c r="N9" s="67">
        <v>80.0</v>
      </c>
    </row>
    <row r="10">
      <c r="A10" s="57" t="s">
        <v>203</v>
      </c>
      <c r="B10" s="58">
        <v>3.0</v>
      </c>
      <c r="C10" s="59"/>
      <c r="D10" s="59">
        <v>0.0</v>
      </c>
      <c r="E10" s="53"/>
      <c r="F10" s="53"/>
      <c r="G10" s="60"/>
      <c r="H10" s="60">
        <v>0.0</v>
      </c>
      <c r="I10" s="60">
        <v>0.0</v>
      </c>
      <c r="K10" s="16" t="s">
        <v>319</v>
      </c>
      <c r="L10" s="67"/>
      <c r="M10" s="67">
        <v>0.3170719492991985</v>
      </c>
    </row>
    <row r="11">
      <c r="A11" s="57" t="s">
        <v>204</v>
      </c>
      <c r="B11" s="56">
        <v>4.0</v>
      </c>
      <c r="C11" s="61"/>
      <c r="D11" s="61">
        <v>0.0</v>
      </c>
      <c r="G11" s="56"/>
      <c r="H11" s="56">
        <v>0.0</v>
      </c>
      <c r="I11" s="56">
        <v>0.0</v>
      </c>
      <c r="K11" s="16" t="s">
        <v>320</v>
      </c>
      <c r="L11" s="16"/>
      <c r="M11" s="16">
        <v>0.0</v>
      </c>
      <c r="P11" s="62"/>
      <c r="Q11" s="62"/>
      <c r="R11" s="62"/>
      <c r="S11" s="62"/>
      <c r="T11" s="62"/>
      <c r="U11" s="62"/>
      <c r="V11" s="62"/>
    </row>
    <row r="12">
      <c r="A12" s="57" t="s">
        <v>205</v>
      </c>
      <c r="B12" s="58">
        <v>3.0</v>
      </c>
      <c r="C12" s="59"/>
      <c r="D12" s="59">
        <v>3.0</v>
      </c>
      <c r="E12" s="53"/>
      <c r="F12" s="53"/>
      <c r="G12" s="60"/>
      <c r="H12" s="60">
        <v>1.0</v>
      </c>
      <c r="I12" s="60">
        <v>0.0</v>
      </c>
      <c r="K12" s="16" t="s">
        <v>321</v>
      </c>
      <c r="L12" s="67"/>
      <c r="M12" s="67">
        <v>79.0</v>
      </c>
    </row>
    <row r="13">
      <c r="A13" s="63" t="s">
        <v>196</v>
      </c>
      <c r="B13" s="56">
        <v>6.0</v>
      </c>
      <c r="C13" s="61"/>
      <c r="D13" s="61">
        <v>0.0</v>
      </c>
      <c r="E13" s="53"/>
      <c r="F13" s="53"/>
      <c r="G13" s="56"/>
      <c r="H13" s="56">
        <v>0.0</v>
      </c>
      <c r="I13" s="56">
        <v>0.0</v>
      </c>
      <c r="K13" s="16" t="s">
        <v>322</v>
      </c>
      <c r="L13" s="67"/>
      <c r="M13" s="67">
        <v>0.3676192182484115</v>
      </c>
    </row>
    <row r="14">
      <c r="A14" s="69" t="s">
        <v>240</v>
      </c>
      <c r="B14" s="58">
        <v>2.0</v>
      </c>
      <c r="C14" s="59"/>
      <c r="D14" s="59">
        <v>4.0</v>
      </c>
      <c r="E14" s="53"/>
      <c r="F14" s="53"/>
      <c r="G14" s="60"/>
      <c r="H14" s="60">
        <v>6.0</v>
      </c>
      <c r="I14" s="60">
        <v>4.0</v>
      </c>
      <c r="K14" s="16" t="s">
        <v>323</v>
      </c>
      <c r="L14" s="67"/>
      <c r="M14" s="67">
        <v>0.3570701233389257</v>
      </c>
    </row>
    <row r="15">
      <c r="A15" s="70" t="s">
        <v>275</v>
      </c>
      <c r="B15" s="56">
        <v>0.0</v>
      </c>
      <c r="C15" s="61"/>
      <c r="D15" s="61">
        <v>4.0</v>
      </c>
      <c r="E15" s="53"/>
      <c r="F15" s="53"/>
      <c r="G15" s="56"/>
      <c r="H15" s="56">
        <v>11.0</v>
      </c>
      <c r="I15" s="56">
        <v>6.0</v>
      </c>
      <c r="K15" s="16" t="s">
        <v>324</v>
      </c>
      <c r="L15" s="67"/>
      <c r="M15" s="67">
        <v>1.664371349153684</v>
      </c>
      <c r="P15" s="16"/>
      <c r="Q15" s="67"/>
      <c r="R15" s="67"/>
    </row>
    <row r="16">
      <c r="A16" s="57" t="s">
        <v>202</v>
      </c>
      <c r="B16" s="58">
        <v>7.0</v>
      </c>
      <c r="C16" s="59"/>
      <c r="D16" s="59">
        <v>7.0</v>
      </c>
      <c r="E16" s="53"/>
      <c r="F16" s="53"/>
      <c r="G16" s="60"/>
      <c r="H16" s="60">
        <v>4.0</v>
      </c>
      <c r="I16" s="60">
        <v>3.0</v>
      </c>
      <c r="K16" s="16" t="s">
        <v>325</v>
      </c>
      <c r="L16" s="67"/>
      <c r="M16" s="67">
        <v>0.7141402466778514</v>
      </c>
    </row>
    <row r="17">
      <c r="A17" s="71" t="s">
        <v>211</v>
      </c>
      <c r="B17" s="56">
        <v>3.0</v>
      </c>
      <c r="C17" s="61"/>
      <c r="D17" s="61">
        <v>4.0</v>
      </c>
      <c r="E17" s="53"/>
      <c r="F17" s="53"/>
      <c r="G17" s="56"/>
      <c r="H17" s="56">
        <v>0.0</v>
      </c>
      <c r="I17" s="56">
        <v>2.0</v>
      </c>
      <c r="K17" s="72" t="s">
        <v>326</v>
      </c>
      <c r="L17" s="72"/>
      <c r="M17" s="72">
        <v>1.9904501765290967</v>
      </c>
      <c r="N17" s="73"/>
    </row>
    <row r="18">
      <c r="A18" s="68" t="s">
        <v>233</v>
      </c>
      <c r="B18" s="58">
        <v>3.0</v>
      </c>
      <c r="C18" s="59"/>
      <c r="D18" s="59">
        <v>0.0</v>
      </c>
      <c r="E18" s="53"/>
      <c r="F18" s="53"/>
      <c r="G18" s="60"/>
      <c r="H18" s="60">
        <v>2.0</v>
      </c>
      <c r="I18" s="60">
        <v>1.0</v>
      </c>
    </row>
    <row r="19">
      <c r="A19" s="69" t="s">
        <v>245</v>
      </c>
      <c r="B19" s="56">
        <v>4.0</v>
      </c>
      <c r="C19" s="61"/>
      <c r="D19" s="61">
        <v>0.0</v>
      </c>
      <c r="E19" s="53"/>
      <c r="F19" s="53"/>
      <c r="G19" s="56"/>
      <c r="H19" s="56">
        <v>0.0</v>
      </c>
      <c r="I19" s="56">
        <v>0.0</v>
      </c>
      <c r="K19" s="53"/>
      <c r="X19" s="16" t="s">
        <v>327</v>
      </c>
      <c r="Y19" s="16" t="s">
        <v>311</v>
      </c>
    </row>
    <row r="20">
      <c r="A20" s="68" t="s">
        <v>230</v>
      </c>
      <c r="B20" s="58">
        <v>2.0</v>
      </c>
      <c r="C20" s="59"/>
      <c r="D20" s="59">
        <v>0.0</v>
      </c>
      <c r="E20" s="53"/>
      <c r="F20" s="53"/>
      <c r="G20" s="60"/>
      <c r="H20" s="60">
        <v>5.0</v>
      </c>
      <c r="I20" s="60">
        <v>1.0</v>
      </c>
      <c r="K20" s="53"/>
      <c r="L20" s="53"/>
      <c r="M20" s="53"/>
    </row>
    <row r="21">
      <c r="A21" s="71" t="s">
        <v>214</v>
      </c>
      <c r="B21" s="56">
        <v>2.0</v>
      </c>
      <c r="C21" s="61"/>
      <c r="D21" s="61">
        <v>3.0</v>
      </c>
      <c r="E21" s="53"/>
      <c r="F21" s="53"/>
      <c r="G21" s="56"/>
      <c r="H21" s="56">
        <v>8.0</v>
      </c>
      <c r="I21" s="56">
        <v>3.0</v>
      </c>
      <c r="K21" s="53"/>
      <c r="L21" s="53"/>
      <c r="M21" s="53"/>
    </row>
    <row r="22">
      <c r="A22" s="68" t="s">
        <v>238</v>
      </c>
      <c r="B22" s="58">
        <v>6.0</v>
      </c>
      <c r="C22" s="59"/>
      <c r="D22" s="59">
        <v>1.0</v>
      </c>
      <c r="E22" s="53"/>
      <c r="F22" s="53"/>
      <c r="G22" s="60"/>
      <c r="H22" s="60">
        <v>1.0</v>
      </c>
      <c r="I22" s="60">
        <v>2.0</v>
      </c>
      <c r="K22" s="53"/>
      <c r="L22" s="53"/>
      <c r="M22" s="53"/>
      <c r="W22" s="74" t="s">
        <v>328</v>
      </c>
      <c r="X22" s="75"/>
      <c r="Y22" s="75"/>
    </row>
    <row r="23">
      <c r="A23" s="68" t="s">
        <v>222</v>
      </c>
      <c r="B23" s="56">
        <v>1.0</v>
      </c>
      <c r="C23" s="61"/>
      <c r="D23" s="61">
        <v>1.0</v>
      </c>
      <c r="E23" s="53"/>
      <c r="F23" s="53"/>
      <c r="G23" s="56"/>
      <c r="H23" s="56">
        <v>12.0</v>
      </c>
      <c r="I23" s="56">
        <v>3.0</v>
      </c>
      <c r="K23" s="53"/>
      <c r="L23" s="53"/>
      <c r="M23" s="53"/>
      <c r="W23" s="76" t="s">
        <v>210</v>
      </c>
      <c r="X23" s="74" t="s">
        <v>329</v>
      </c>
      <c r="Y23" s="74" t="s">
        <v>330</v>
      </c>
    </row>
    <row r="24">
      <c r="A24" s="77" t="s">
        <v>290</v>
      </c>
      <c r="B24" s="58">
        <v>4.0</v>
      </c>
      <c r="C24" s="59"/>
      <c r="D24" s="59">
        <v>10.0</v>
      </c>
      <c r="E24" s="53"/>
      <c r="F24" s="53"/>
      <c r="G24" s="60"/>
      <c r="H24" s="60">
        <v>0.0</v>
      </c>
      <c r="I24" s="60">
        <v>3.0</v>
      </c>
      <c r="K24" s="53"/>
      <c r="L24" s="53"/>
      <c r="M24" s="53"/>
      <c r="W24" s="78" t="s">
        <v>331</v>
      </c>
      <c r="X24" s="74" t="s">
        <v>330</v>
      </c>
      <c r="Y24" s="79">
        <v>45965.0</v>
      </c>
    </row>
    <row r="25">
      <c r="A25" s="77" t="s">
        <v>276</v>
      </c>
      <c r="B25" s="56">
        <v>0.0</v>
      </c>
      <c r="C25" s="61"/>
      <c r="D25" s="61">
        <v>5.0</v>
      </c>
      <c r="E25" s="53"/>
      <c r="F25" s="53"/>
      <c r="G25" s="56"/>
      <c r="H25" s="56">
        <v>8.0</v>
      </c>
      <c r="I25" s="56">
        <v>9.0</v>
      </c>
      <c r="K25" s="53"/>
      <c r="L25" s="53"/>
      <c r="M25" s="53"/>
      <c r="W25" s="76" t="s">
        <v>214</v>
      </c>
      <c r="X25" s="74" t="s">
        <v>332</v>
      </c>
      <c r="Y25" s="74" t="s">
        <v>333</v>
      </c>
    </row>
    <row r="26">
      <c r="A26" s="71" t="s">
        <v>210</v>
      </c>
      <c r="B26" s="58">
        <v>3.0</v>
      </c>
      <c r="C26" s="59"/>
      <c r="D26" s="59">
        <v>3.0</v>
      </c>
      <c r="E26" s="53"/>
      <c r="F26" s="53"/>
      <c r="G26" s="60"/>
      <c r="H26" s="60">
        <v>3.0</v>
      </c>
      <c r="I26" s="60">
        <v>0.0</v>
      </c>
      <c r="K26" s="53"/>
      <c r="L26" s="53"/>
      <c r="M26" s="53"/>
      <c r="W26" s="53" t="s">
        <v>97</v>
      </c>
      <c r="X26" s="74" t="s">
        <v>334</v>
      </c>
      <c r="Y26" s="74" t="s">
        <v>330</v>
      </c>
    </row>
    <row r="27">
      <c r="A27" s="69" t="s">
        <v>251</v>
      </c>
      <c r="B27" s="56">
        <v>2.0</v>
      </c>
      <c r="C27" s="61"/>
      <c r="D27" s="61">
        <v>1.0</v>
      </c>
      <c r="E27" s="53"/>
      <c r="F27" s="53"/>
      <c r="G27" s="56"/>
      <c r="H27" s="56">
        <v>7.0</v>
      </c>
      <c r="I27" s="56">
        <v>1.0</v>
      </c>
      <c r="K27" s="16" t="s">
        <v>335</v>
      </c>
      <c r="L27" s="53"/>
      <c r="M27" s="53"/>
      <c r="W27" s="53" t="s">
        <v>216</v>
      </c>
      <c r="X27" s="79">
        <v>45943.0</v>
      </c>
      <c r="Y27" s="74" t="s">
        <v>330</v>
      </c>
    </row>
    <row r="28">
      <c r="A28" s="68" t="s">
        <v>229</v>
      </c>
      <c r="B28" s="58">
        <v>4.0</v>
      </c>
      <c r="C28" s="59"/>
      <c r="D28" s="59">
        <v>2.0</v>
      </c>
      <c r="E28" s="53"/>
      <c r="F28" s="53"/>
      <c r="G28" s="60"/>
      <c r="H28" s="60">
        <v>5.0</v>
      </c>
      <c r="I28" s="60">
        <v>3.0</v>
      </c>
      <c r="K28" s="16" t="s">
        <v>315</v>
      </c>
      <c r="W28" s="53" t="s">
        <v>218</v>
      </c>
      <c r="X28" s="74" t="s">
        <v>330</v>
      </c>
      <c r="Y28" s="74" t="s">
        <v>330</v>
      </c>
    </row>
    <row r="29">
      <c r="A29" s="68" t="s">
        <v>231</v>
      </c>
      <c r="B29" s="56">
        <v>3.0</v>
      </c>
      <c r="C29" s="61"/>
      <c r="D29" s="61">
        <v>1.0</v>
      </c>
      <c r="E29" s="53"/>
      <c r="F29" s="53"/>
      <c r="G29" s="56"/>
      <c r="H29" s="56">
        <v>1.0</v>
      </c>
      <c r="I29" s="56">
        <v>0.0</v>
      </c>
      <c r="W29" s="53" t="s">
        <v>217</v>
      </c>
      <c r="X29" s="74" t="s">
        <v>336</v>
      </c>
      <c r="Y29" s="74" t="s">
        <v>330</v>
      </c>
    </row>
    <row r="30">
      <c r="A30" s="71" t="s">
        <v>97</v>
      </c>
      <c r="B30" s="58">
        <v>4.0</v>
      </c>
      <c r="C30" s="59"/>
      <c r="D30" s="59">
        <v>2.0</v>
      </c>
      <c r="E30" s="53"/>
      <c r="F30" s="53"/>
      <c r="G30" s="60"/>
      <c r="H30" s="60">
        <v>2.0</v>
      </c>
      <c r="I30" s="60">
        <v>0.0</v>
      </c>
      <c r="K30" s="64"/>
      <c r="L30" s="65"/>
      <c r="M30" s="65" t="s">
        <v>312</v>
      </c>
      <c r="N30" s="65" t="s">
        <v>313</v>
      </c>
      <c r="Q30" s="53"/>
      <c r="R30" s="53"/>
      <c r="W30" s="75"/>
      <c r="X30" s="75"/>
      <c r="Y30" s="75"/>
    </row>
    <row r="31">
      <c r="A31" s="71" t="s">
        <v>216</v>
      </c>
      <c r="B31" s="56">
        <v>5.0</v>
      </c>
      <c r="C31" s="61"/>
      <c r="D31" s="61">
        <v>1.0</v>
      </c>
      <c r="E31" s="53"/>
      <c r="F31" s="53"/>
      <c r="G31" s="56"/>
      <c r="H31" s="56">
        <v>0.0</v>
      </c>
      <c r="I31" s="56">
        <v>0.0</v>
      </c>
      <c r="K31" s="16" t="s">
        <v>316</v>
      </c>
      <c r="L31" s="67"/>
      <c r="M31" s="67">
        <v>3.0375</v>
      </c>
      <c r="N31" s="67">
        <v>2.475</v>
      </c>
      <c r="W31" s="74" t="s">
        <v>89</v>
      </c>
      <c r="X31" s="75"/>
      <c r="Y31" s="75"/>
    </row>
    <row r="32">
      <c r="A32" s="69" t="s">
        <v>246</v>
      </c>
      <c r="B32" s="58">
        <v>4.0</v>
      </c>
      <c r="C32" s="59"/>
      <c r="D32" s="59">
        <v>0.0</v>
      </c>
      <c r="E32" s="53"/>
      <c r="F32" s="53"/>
      <c r="G32" s="60"/>
      <c r="H32" s="60">
        <v>0.0</v>
      </c>
      <c r="I32" s="60">
        <v>2.0</v>
      </c>
      <c r="K32" s="16" t="s">
        <v>317</v>
      </c>
      <c r="L32" s="67"/>
      <c r="M32" s="67">
        <v>6.1884493670886105</v>
      </c>
      <c r="N32" s="67">
        <v>10.075316455696202</v>
      </c>
      <c r="W32" s="53" t="s">
        <v>209</v>
      </c>
      <c r="X32" s="16" t="s">
        <v>330</v>
      </c>
    </row>
    <row r="33">
      <c r="A33" s="69" t="s">
        <v>248</v>
      </c>
      <c r="B33" s="56">
        <v>0.0</v>
      </c>
      <c r="C33" s="61"/>
      <c r="D33" s="61">
        <v>0.0</v>
      </c>
      <c r="E33" s="53"/>
      <c r="F33" s="53"/>
      <c r="G33" s="56"/>
      <c r="H33" s="56">
        <v>7.0</v>
      </c>
      <c r="I33" s="56">
        <v>1.0</v>
      </c>
      <c r="K33" s="16" t="s">
        <v>318</v>
      </c>
      <c r="L33" s="67"/>
      <c r="M33" s="67">
        <v>80.0</v>
      </c>
      <c r="N33" s="67">
        <v>80.0</v>
      </c>
      <c r="W33" s="53" t="s">
        <v>219</v>
      </c>
      <c r="X33" s="16" t="s">
        <v>337</v>
      </c>
      <c r="Y33" s="80">
        <v>45952.0</v>
      </c>
    </row>
    <row r="34">
      <c r="A34" s="81" t="s">
        <v>338</v>
      </c>
      <c r="B34" s="58">
        <v>3.0</v>
      </c>
      <c r="C34" s="59"/>
      <c r="D34" s="59">
        <v>4.0</v>
      </c>
      <c r="E34" s="53"/>
      <c r="F34" s="53"/>
      <c r="G34" s="60"/>
      <c r="H34" s="60">
        <v>2.0</v>
      </c>
      <c r="I34" s="60">
        <v>3.0</v>
      </c>
      <c r="K34" s="16" t="s">
        <v>319</v>
      </c>
      <c r="L34" s="67"/>
      <c r="M34" s="67">
        <v>0.17565645716130168</v>
      </c>
      <c r="W34" s="53" t="s">
        <v>220</v>
      </c>
      <c r="X34" s="80">
        <v>45953.0</v>
      </c>
      <c r="Y34" s="80">
        <v>45943.0</v>
      </c>
    </row>
    <row r="35">
      <c r="A35" s="69" t="s">
        <v>260</v>
      </c>
      <c r="B35" s="56">
        <v>1.0</v>
      </c>
      <c r="C35" s="61"/>
      <c r="D35" s="61">
        <v>0.0</v>
      </c>
      <c r="E35" s="53"/>
      <c r="F35" s="53"/>
      <c r="G35" s="56"/>
      <c r="H35" s="56">
        <v>3.0</v>
      </c>
      <c r="I35" s="56">
        <v>2.0</v>
      </c>
      <c r="K35" s="16" t="s">
        <v>320</v>
      </c>
      <c r="L35" s="16"/>
      <c r="M35" s="16">
        <v>0.0</v>
      </c>
      <c r="W35" s="16" t="s">
        <v>10</v>
      </c>
      <c r="X35" s="16" t="s">
        <v>330</v>
      </c>
      <c r="Y35" s="16" t="s">
        <v>330</v>
      </c>
    </row>
    <row r="36">
      <c r="A36" s="77" t="s">
        <v>284</v>
      </c>
      <c r="B36" s="58">
        <v>4.0</v>
      </c>
      <c r="C36" s="59"/>
      <c r="D36" s="59">
        <v>0.0</v>
      </c>
      <c r="E36" s="53"/>
      <c r="F36" s="53"/>
      <c r="G36" s="60"/>
      <c r="H36" s="60">
        <v>0.0</v>
      </c>
      <c r="I36" s="60">
        <v>0.0</v>
      </c>
      <c r="K36" s="16" t="s">
        <v>321</v>
      </c>
      <c r="L36" s="67"/>
      <c r="M36" s="67">
        <v>79.0</v>
      </c>
    </row>
    <row r="37">
      <c r="A37" s="77" t="s">
        <v>286</v>
      </c>
      <c r="B37" s="56">
        <v>5.0</v>
      </c>
      <c r="C37" s="61"/>
      <c r="D37" s="61">
        <v>12.0</v>
      </c>
      <c r="E37" s="53"/>
      <c r="F37" s="53"/>
      <c r="G37" s="56"/>
      <c r="H37" s="56">
        <v>3.0</v>
      </c>
      <c r="I37" s="56">
        <v>12.0</v>
      </c>
      <c r="K37" s="16" t="s">
        <v>322</v>
      </c>
      <c r="L37" s="67"/>
      <c r="M37" s="67">
        <v>1.36982828665663</v>
      </c>
      <c r="W37" s="16" t="s">
        <v>339</v>
      </c>
    </row>
    <row r="38">
      <c r="A38" s="63" t="s">
        <v>194</v>
      </c>
      <c r="B38" s="58">
        <v>2.0</v>
      </c>
      <c r="C38" s="59"/>
      <c r="D38" s="59">
        <v>1.0</v>
      </c>
      <c r="E38" s="53"/>
      <c r="F38" s="53"/>
      <c r="G38" s="60"/>
      <c r="H38" s="60">
        <v>6.0</v>
      </c>
      <c r="I38" s="60">
        <v>2.0</v>
      </c>
      <c r="K38" s="16" t="s">
        <v>323</v>
      </c>
      <c r="L38" s="67"/>
      <c r="M38" s="67">
        <v>0.08731070810445787</v>
      </c>
      <c r="W38" s="53" t="s">
        <v>252</v>
      </c>
      <c r="X38" s="16" t="s">
        <v>330</v>
      </c>
      <c r="Y38" s="80">
        <v>45968.0</v>
      </c>
    </row>
    <row r="39">
      <c r="A39" s="66" t="s">
        <v>219</v>
      </c>
      <c r="B39" s="56">
        <v>3.0</v>
      </c>
      <c r="C39" s="61"/>
      <c r="D39" s="61">
        <v>3.0</v>
      </c>
      <c r="E39" s="53"/>
      <c r="F39" s="53"/>
      <c r="G39" s="56"/>
      <c r="H39" s="56">
        <v>1.0</v>
      </c>
      <c r="I39" s="56">
        <v>1.0</v>
      </c>
      <c r="K39" s="16" t="s">
        <v>324</v>
      </c>
      <c r="L39" s="67"/>
      <c r="M39" s="67">
        <v>1.664371349153684</v>
      </c>
      <c r="W39" s="53" t="s">
        <v>231</v>
      </c>
      <c r="X39" s="80">
        <v>45953.0</v>
      </c>
      <c r="Y39" s="16" t="s">
        <v>330</v>
      </c>
    </row>
    <row r="40">
      <c r="A40" s="69" t="s">
        <v>259</v>
      </c>
      <c r="B40" s="58">
        <v>2.0</v>
      </c>
      <c r="C40" s="59"/>
      <c r="D40" s="59">
        <v>0.0</v>
      </c>
      <c r="E40" s="53"/>
      <c r="F40" s="53"/>
      <c r="G40" s="60"/>
      <c r="H40" s="60">
        <v>3.0</v>
      </c>
      <c r="I40" s="60">
        <v>0.0</v>
      </c>
      <c r="K40" s="16" t="s">
        <v>325</v>
      </c>
      <c r="L40" s="67"/>
      <c r="M40" s="67">
        <v>0.17462141620891575</v>
      </c>
      <c r="W40" s="53" t="s">
        <v>189</v>
      </c>
      <c r="X40" s="16" t="s">
        <v>340</v>
      </c>
      <c r="Y40" s="16" t="s">
        <v>330</v>
      </c>
    </row>
    <row r="41">
      <c r="A41" s="69" t="s">
        <v>242</v>
      </c>
      <c r="B41" s="56">
        <v>3.0</v>
      </c>
      <c r="C41" s="61"/>
      <c r="D41" s="61">
        <v>1.0</v>
      </c>
      <c r="E41" s="53"/>
      <c r="F41" s="53"/>
      <c r="G41" s="56"/>
      <c r="H41" s="56">
        <v>6.0</v>
      </c>
      <c r="I41" s="56">
        <v>2.0</v>
      </c>
      <c r="K41" s="72" t="s">
        <v>326</v>
      </c>
      <c r="L41" s="82"/>
      <c r="M41" s="82">
        <v>1.9904501765290967</v>
      </c>
      <c r="N41" s="73"/>
      <c r="P41" s="53"/>
      <c r="W41" s="53" t="s">
        <v>192</v>
      </c>
      <c r="X41" s="16" t="s">
        <v>341</v>
      </c>
      <c r="Y41" s="16" t="s">
        <v>342</v>
      </c>
    </row>
    <row r="42">
      <c r="A42" s="77" t="s">
        <v>280</v>
      </c>
      <c r="B42" s="58">
        <v>0.0</v>
      </c>
      <c r="C42" s="59"/>
      <c r="D42" s="59">
        <v>4.0</v>
      </c>
      <c r="E42" s="53"/>
      <c r="F42" s="53"/>
      <c r="G42" s="60"/>
      <c r="H42" s="60">
        <v>3.0</v>
      </c>
      <c r="I42" s="60">
        <v>5.0</v>
      </c>
      <c r="W42" s="83" t="s">
        <v>343</v>
      </c>
      <c r="X42" s="16" t="s">
        <v>330</v>
      </c>
      <c r="Y42" s="16" t="s">
        <v>330</v>
      </c>
    </row>
    <row r="43">
      <c r="A43" s="69" t="s">
        <v>239</v>
      </c>
      <c r="B43" s="56">
        <v>4.0</v>
      </c>
      <c r="C43" s="61"/>
      <c r="D43" s="61">
        <v>4.0</v>
      </c>
      <c r="E43" s="53"/>
      <c r="F43" s="53"/>
      <c r="G43" s="56"/>
      <c r="H43" s="56">
        <v>2.0</v>
      </c>
      <c r="I43" s="56">
        <v>3.0</v>
      </c>
      <c r="W43" s="53" t="s">
        <v>194</v>
      </c>
      <c r="X43" s="80">
        <v>45944.0</v>
      </c>
      <c r="Y43" s="16" t="s">
        <v>344</v>
      </c>
    </row>
    <row r="44">
      <c r="A44" s="77" t="s">
        <v>287</v>
      </c>
      <c r="B44" s="58">
        <v>4.0</v>
      </c>
      <c r="C44" s="59"/>
      <c r="D44" s="59">
        <v>7.0</v>
      </c>
      <c r="E44" s="53"/>
      <c r="F44" s="53"/>
      <c r="G44" s="60"/>
      <c r="H44" s="60">
        <v>1.0</v>
      </c>
      <c r="I44" s="60">
        <v>3.0</v>
      </c>
      <c r="W44" s="53" t="s">
        <v>196</v>
      </c>
      <c r="X44" s="16" t="s">
        <v>330</v>
      </c>
      <c r="Y44" s="16" t="s">
        <v>330</v>
      </c>
    </row>
    <row r="45">
      <c r="A45" s="70" t="s">
        <v>282</v>
      </c>
      <c r="B45" s="56">
        <v>3.0</v>
      </c>
      <c r="C45" s="61"/>
      <c r="D45" s="61">
        <v>9.0</v>
      </c>
      <c r="E45" s="53"/>
      <c r="F45" s="53"/>
      <c r="G45" s="56"/>
      <c r="H45" s="56">
        <v>0.0</v>
      </c>
      <c r="I45" s="56">
        <v>12.0</v>
      </c>
      <c r="W45" s="53" t="s">
        <v>255</v>
      </c>
      <c r="X45" s="80">
        <v>45953.0</v>
      </c>
      <c r="Y45" s="16" t="s">
        <v>345</v>
      </c>
    </row>
    <row r="46">
      <c r="A46" s="66" t="s">
        <v>209</v>
      </c>
      <c r="B46" s="58">
        <v>5.0</v>
      </c>
      <c r="C46" s="59"/>
      <c r="D46" s="59">
        <v>0.0</v>
      </c>
      <c r="E46" s="53"/>
      <c r="F46" s="53"/>
      <c r="G46" s="60"/>
      <c r="H46" s="60">
        <v>3.0</v>
      </c>
      <c r="I46" s="60">
        <v>1.0</v>
      </c>
      <c r="W46" s="16" t="s">
        <v>338</v>
      </c>
      <c r="X46" s="16" t="s">
        <v>346</v>
      </c>
      <c r="Y46" s="16" t="s">
        <v>347</v>
      </c>
    </row>
    <row r="47">
      <c r="A47" s="77" t="s">
        <v>274</v>
      </c>
      <c r="B47" s="56">
        <v>1.0</v>
      </c>
      <c r="C47" s="61"/>
      <c r="D47" s="61">
        <v>5.0</v>
      </c>
      <c r="E47" s="53"/>
      <c r="F47" s="53"/>
      <c r="G47" s="56"/>
      <c r="H47" s="56">
        <v>10.0</v>
      </c>
      <c r="I47" s="56">
        <v>9.0</v>
      </c>
    </row>
    <row r="48">
      <c r="A48" s="68" t="s">
        <v>234</v>
      </c>
      <c r="B48" s="58">
        <v>12.0</v>
      </c>
      <c r="C48" s="59"/>
      <c r="D48" s="59">
        <v>3.0</v>
      </c>
      <c r="E48" s="53"/>
      <c r="F48" s="53"/>
      <c r="G48" s="60"/>
      <c r="H48" s="60">
        <v>4.0</v>
      </c>
      <c r="I48" s="60">
        <v>0.0</v>
      </c>
      <c r="W48" s="16" t="s">
        <v>348</v>
      </c>
    </row>
    <row r="49">
      <c r="A49" s="77" t="s">
        <v>278</v>
      </c>
      <c r="B49" s="56">
        <v>0.0</v>
      </c>
      <c r="C49" s="61"/>
      <c r="D49" s="61">
        <v>11.0</v>
      </c>
      <c r="E49" s="53"/>
      <c r="F49" s="53"/>
      <c r="G49" s="56"/>
      <c r="H49" s="56">
        <v>3.0</v>
      </c>
      <c r="I49" s="56">
        <v>4.0</v>
      </c>
      <c r="W49" s="16" t="s">
        <v>338</v>
      </c>
    </row>
    <row r="50">
      <c r="A50" s="77" t="s">
        <v>283</v>
      </c>
      <c r="B50" s="58">
        <v>8.0</v>
      </c>
      <c r="C50" s="59"/>
      <c r="D50" s="59">
        <v>12.0</v>
      </c>
      <c r="E50" s="53"/>
      <c r="F50" s="53"/>
      <c r="G50" s="60"/>
      <c r="H50" s="60">
        <v>3.0</v>
      </c>
      <c r="I50" s="60">
        <v>9.0</v>
      </c>
      <c r="W50" s="53" t="s">
        <v>203</v>
      </c>
    </row>
    <row r="51">
      <c r="A51" s="68" t="s">
        <v>232</v>
      </c>
      <c r="B51" s="56">
        <v>3.0</v>
      </c>
      <c r="C51" s="61"/>
      <c r="D51" s="61">
        <v>5.0</v>
      </c>
      <c r="E51" s="53"/>
      <c r="F51" s="53"/>
      <c r="G51" s="56"/>
      <c r="H51" s="56">
        <v>0.0</v>
      </c>
      <c r="I51" s="56">
        <v>2.0</v>
      </c>
      <c r="W51" s="53" t="s">
        <v>204</v>
      </c>
    </row>
    <row r="52">
      <c r="A52" s="69" t="s">
        <v>249</v>
      </c>
      <c r="B52" s="58">
        <v>1.0</v>
      </c>
      <c r="C52" s="59"/>
      <c r="D52" s="59">
        <v>2.0</v>
      </c>
      <c r="E52" s="53"/>
      <c r="F52" s="53"/>
      <c r="G52" s="60"/>
      <c r="H52" s="60">
        <v>5.0</v>
      </c>
      <c r="I52" s="60">
        <v>5.0</v>
      </c>
      <c r="W52" s="53" t="s">
        <v>205</v>
      </c>
    </row>
    <row r="53">
      <c r="A53" s="71" t="s">
        <v>217</v>
      </c>
      <c r="B53" s="56">
        <v>0.0</v>
      </c>
      <c r="C53" s="61"/>
      <c r="D53" s="61">
        <v>6.0</v>
      </c>
      <c r="E53" s="53"/>
      <c r="F53" s="53"/>
      <c r="G53" s="56"/>
      <c r="H53" s="56">
        <v>3.0</v>
      </c>
      <c r="I53" s="56">
        <v>0.0</v>
      </c>
      <c r="W53" s="16" t="s">
        <v>206</v>
      </c>
    </row>
    <row r="54">
      <c r="A54" s="63" t="s">
        <v>255</v>
      </c>
      <c r="B54" s="58">
        <v>3.0</v>
      </c>
      <c r="C54" s="59"/>
      <c r="D54" s="59">
        <v>0.0</v>
      </c>
      <c r="E54" s="53"/>
      <c r="F54" s="53"/>
      <c r="G54" s="60"/>
      <c r="H54" s="60">
        <v>2.0</v>
      </c>
      <c r="I54" s="60">
        <v>2.0</v>
      </c>
      <c r="W54" s="16" t="s">
        <v>206</v>
      </c>
    </row>
    <row r="55">
      <c r="A55" s="69" t="s">
        <v>250</v>
      </c>
      <c r="B55" s="56">
        <v>0.0</v>
      </c>
      <c r="C55" s="61"/>
      <c r="D55" s="61">
        <v>0.0</v>
      </c>
      <c r="E55" s="53"/>
      <c r="F55" s="53"/>
      <c r="G55" s="56"/>
      <c r="H55" s="56">
        <v>3.0</v>
      </c>
      <c r="I55" s="56">
        <v>2.0</v>
      </c>
      <c r="W55" s="53" t="s">
        <v>208</v>
      </c>
    </row>
    <row r="56">
      <c r="A56" s="68" t="s">
        <v>237</v>
      </c>
      <c r="B56" s="58">
        <v>3.0</v>
      </c>
      <c r="C56" s="59"/>
      <c r="D56" s="59">
        <v>1.0</v>
      </c>
      <c r="E56" s="53"/>
      <c r="F56" s="53"/>
      <c r="G56" s="60"/>
      <c r="H56" s="60">
        <v>6.0</v>
      </c>
      <c r="I56" s="60">
        <v>1.0</v>
      </c>
    </row>
    <row r="57">
      <c r="A57" s="63" t="s">
        <v>189</v>
      </c>
      <c r="B57" s="56">
        <v>7.0</v>
      </c>
      <c r="C57" s="61"/>
      <c r="D57" s="61">
        <v>4.0</v>
      </c>
      <c r="E57" s="53"/>
      <c r="F57" s="53"/>
      <c r="G57" s="56"/>
      <c r="H57" s="56">
        <v>0.0</v>
      </c>
      <c r="I57" s="56">
        <v>0.0</v>
      </c>
      <c r="W57" s="16" t="s">
        <v>339</v>
      </c>
    </row>
    <row r="58">
      <c r="A58" s="71" t="s">
        <v>218</v>
      </c>
      <c r="B58" s="58">
        <v>3.0</v>
      </c>
      <c r="C58" s="59"/>
      <c r="D58" s="59">
        <v>0.0</v>
      </c>
      <c r="E58" s="53"/>
      <c r="F58" s="53"/>
      <c r="G58" s="60"/>
      <c r="H58" s="60">
        <v>1.0</v>
      </c>
      <c r="I58" s="60">
        <v>0.0</v>
      </c>
      <c r="W58" s="16" t="s">
        <v>349</v>
      </c>
    </row>
    <row r="59">
      <c r="A59" s="77" t="s">
        <v>289</v>
      </c>
      <c r="B59" s="56">
        <v>2.0</v>
      </c>
      <c r="C59" s="61"/>
      <c r="D59" s="61">
        <v>12.0</v>
      </c>
      <c r="E59" s="53"/>
      <c r="F59" s="53"/>
      <c r="G59" s="56"/>
      <c r="H59" s="56">
        <v>4.0</v>
      </c>
      <c r="I59" s="56">
        <v>12.0</v>
      </c>
      <c r="W59" s="16" t="s">
        <v>350</v>
      </c>
    </row>
    <row r="60">
      <c r="A60" s="68" t="s">
        <v>235</v>
      </c>
      <c r="B60" s="58">
        <v>0.0</v>
      </c>
      <c r="C60" s="59"/>
      <c r="D60" s="59">
        <v>1.0</v>
      </c>
      <c r="E60" s="53"/>
      <c r="F60" s="53"/>
      <c r="G60" s="60"/>
      <c r="H60" s="60">
        <v>9.0</v>
      </c>
      <c r="I60" s="60">
        <v>3.0</v>
      </c>
      <c r="W60" s="16" t="s">
        <v>351</v>
      </c>
    </row>
    <row r="61">
      <c r="A61" s="77" t="s">
        <v>281</v>
      </c>
      <c r="B61" s="56">
        <v>10.0</v>
      </c>
      <c r="C61" s="61"/>
      <c r="D61" s="61">
        <v>7.0</v>
      </c>
      <c r="E61" s="53"/>
      <c r="F61" s="53"/>
      <c r="G61" s="56"/>
      <c r="H61" s="56">
        <v>0.0</v>
      </c>
      <c r="I61" s="56">
        <v>6.0</v>
      </c>
      <c r="W61" s="16" t="s">
        <v>352</v>
      </c>
    </row>
    <row r="62">
      <c r="A62" s="84" t="s">
        <v>353</v>
      </c>
      <c r="B62" s="58">
        <v>0.0</v>
      </c>
      <c r="C62" s="59"/>
      <c r="D62" s="59">
        <v>2.0</v>
      </c>
      <c r="E62" s="53"/>
      <c r="F62" s="53"/>
      <c r="G62" s="60"/>
      <c r="H62" s="60">
        <v>6.0</v>
      </c>
      <c r="I62" s="60">
        <v>4.0</v>
      </c>
      <c r="W62" s="16" t="s">
        <v>354</v>
      </c>
    </row>
    <row r="63">
      <c r="A63" s="85" t="s">
        <v>355</v>
      </c>
      <c r="B63" s="56">
        <v>0.0</v>
      </c>
      <c r="C63" s="61"/>
      <c r="D63" s="61">
        <v>0.0</v>
      </c>
      <c r="E63" s="53"/>
      <c r="F63" s="53"/>
      <c r="G63" s="56"/>
      <c r="H63" s="56">
        <v>3.0</v>
      </c>
      <c r="I63" s="56">
        <v>0.0</v>
      </c>
      <c r="W63" s="16" t="s">
        <v>356</v>
      </c>
    </row>
    <row r="64">
      <c r="A64" s="86" t="s">
        <v>357</v>
      </c>
      <c r="B64" s="59">
        <v>6.0</v>
      </c>
      <c r="C64" s="59"/>
      <c r="D64" s="59">
        <v>2.0</v>
      </c>
      <c r="E64" s="53"/>
      <c r="F64" s="53"/>
      <c r="G64" s="60"/>
      <c r="H64" s="60">
        <v>0.0</v>
      </c>
      <c r="I64" s="60">
        <v>0.0</v>
      </c>
      <c r="W64" s="16" t="s">
        <v>358</v>
      </c>
    </row>
    <row r="65">
      <c r="A65" s="87" t="s">
        <v>359</v>
      </c>
      <c r="B65" s="61">
        <v>3.0</v>
      </c>
      <c r="C65" s="61"/>
      <c r="D65" s="61">
        <v>0.0</v>
      </c>
      <c r="E65" s="53"/>
      <c r="F65" s="53"/>
      <c r="G65" s="56"/>
      <c r="H65" s="56">
        <v>0.0</v>
      </c>
      <c r="I65" s="56">
        <v>1.0</v>
      </c>
      <c r="W65" s="16" t="s">
        <v>360</v>
      </c>
    </row>
    <row r="66">
      <c r="A66" s="87" t="s">
        <v>343</v>
      </c>
      <c r="B66" s="59">
        <v>3.0</v>
      </c>
      <c r="C66" s="59"/>
      <c r="D66" s="59">
        <v>0.0</v>
      </c>
      <c r="E66" s="53"/>
      <c r="F66" s="53"/>
      <c r="G66" s="60"/>
      <c r="H66" s="60">
        <v>0.0</v>
      </c>
      <c r="I66" s="60">
        <v>0.0</v>
      </c>
      <c r="L66" s="62"/>
      <c r="M66" s="88"/>
      <c r="W66" s="16" t="s">
        <v>361</v>
      </c>
    </row>
    <row r="67">
      <c r="A67" s="89" t="s">
        <v>206</v>
      </c>
      <c r="B67" s="61">
        <v>6.0</v>
      </c>
      <c r="C67" s="61"/>
      <c r="D67" s="61">
        <v>0.0</v>
      </c>
      <c r="E67" s="53"/>
      <c r="F67" s="53"/>
      <c r="G67" s="56"/>
      <c r="H67" s="56">
        <v>2.0</v>
      </c>
      <c r="I67" s="56">
        <v>0.0</v>
      </c>
      <c r="W67" s="16" t="s">
        <v>362</v>
      </c>
    </row>
    <row r="68">
      <c r="A68" s="90" t="s">
        <v>363</v>
      </c>
      <c r="B68" s="59">
        <v>4.0</v>
      </c>
      <c r="C68" s="59"/>
      <c r="D68" s="59">
        <v>0.0</v>
      </c>
      <c r="E68" s="53"/>
      <c r="F68" s="53"/>
      <c r="G68" s="60"/>
      <c r="H68" s="60">
        <v>0.0</v>
      </c>
      <c r="I68" s="60">
        <v>0.0</v>
      </c>
      <c r="L68" s="62"/>
      <c r="M68" s="62"/>
      <c r="N68" s="62"/>
      <c r="W68" s="16" t="s">
        <v>364</v>
      </c>
    </row>
    <row r="69">
      <c r="A69" s="90" t="s">
        <v>365</v>
      </c>
      <c r="B69" s="61">
        <v>0.0</v>
      </c>
      <c r="C69" s="61"/>
      <c r="D69" s="61">
        <v>0.0</v>
      </c>
      <c r="E69" s="53"/>
      <c r="F69" s="53"/>
      <c r="G69" s="56"/>
      <c r="H69" s="56">
        <v>3.0</v>
      </c>
      <c r="I69" s="56">
        <v>0.0</v>
      </c>
      <c r="W69" s="91" t="s">
        <v>366</v>
      </c>
      <c r="X69" s="16" t="s">
        <v>367</v>
      </c>
    </row>
    <row r="70">
      <c r="A70" s="90" t="s">
        <v>331</v>
      </c>
      <c r="B70" s="59">
        <v>3.0</v>
      </c>
      <c r="C70" s="59"/>
      <c r="D70" s="59">
        <v>0.0</v>
      </c>
      <c r="E70" s="53"/>
      <c r="F70" s="53"/>
      <c r="G70" s="60"/>
      <c r="H70" s="60">
        <v>0.0</v>
      </c>
      <c r="I70" s="60">
        <v>1.0</v>
      </c>
    </row>
    <row r="71">
      <c r="A71" s="92" t="s">
        <v>368</v>
      </c>
      <c r="B71" s="61">
        <v>6.0</v>
      </c>
      <c r="C71" s="61"/>
      <c r="D71" s="61">
        <v>0.0</v>
      </c>
      <c r="E71" s="53"/>
      <c r="F71" s="53"/>
      <c r="G71" s="56"/>
      <c r="H71" s="56">
        <v>0.0</v>
      </c>
      <c r="I71" s="56">
        <v>0.0</v>
      </c>
      <c r="L71" s="16"/>
      <c r="M71" s="67"/>
    </row>
    <row r="72">
      <c r="A72" s="93" t="s">
        <v>10</v>
      </c>
      <c r="B72" s="59">
        <v>3.0</v>
      </c>
      <c r="C72" s="59"/>
      <c r="D72" s="59">
        <v>0.0</v>
      </c>
      <c r="G72" s="60"/>
      <c r="H72" s="60">
        <v>0.0</v>
      </c>
      <c r="I72" s="60">
        <v>0.0</v>
      </c>
    </row>
    <row r="73">
      <c r="A73" s="94" t="s">
        <v>261</v>
      </c>
      <c r="B73" s="95">
        <v>3.0</v>
      </c>
      <c r="C73" s="61"/>
      <c r="D73" s="61">
        <v>0.0</v>
      </c>
      <c r="G73" s="95"/>
      <c r="H73" s="95">
        <v>3.0</v>
      </c>
      <c r="I73" s="61">
        <v>12.0</v>
      </c>
      <c r="W73" s="16"/>
    </row>
    <row r="74">
      <c r="A74" s="94" t="s">
        <v>262</v>
      </c>
      <c r="B74" s="96">
        <v>1.0</v>
      </c>
      <c r="C74" s="59"/>
      <c r="D74" s="59">
        <v>6.0</v>
      </c>
      <c r="G74" s="97"/>
      <c r="H74" s="97">
        <v>6.0</v>
      </c>
      <c r="I74" s="98">
        <v>6.0</v>
      </c>
      <c r="L74" s="88"/>
      <c r="M74" s="62"/>
      <c r="N74" s="62"/>
      <c r="O74" s="62"/>
      <c r="P74" s="62"/>
      <c r="Q74" s="62"/>
      <c r="W74" s="16"/>
    </row>
    <row r="75">
      <c r="A75" s="94" t="s">
        <v>263</v>
      </c>
      <c r="B75" s="95">
        <v>2.0</v>
      </c>
      <c r="C75" s="61"/>
      <c r="D75" s="61">
        <v>0.0</v>
      </c>
      <c r="G75" s="95"/>
      <c r="H75" s="95">
        <v>4.0</v>
      </c>
      <c r="I75" s="61">
        <v>12.0</v>
      </c>
      <c r="W75" s="16"/>
    </row>
    <row r="76">
      <c r="A76" s="94" t="s">
        <v>264</v>
      </c>
      <c r="B76" s="96">
        <v>1.0</v>
      </c>
      <c r="C76" s="59"/>
      <c r="D76" s="59">
        <v>3.0</v>
      </c>
      <c r="G76" s="97"/>
      <c r="H76" s="97">
        <v>8.0</v>
      </c>
      <c r="I76" s="98">
        <v>9.0</v>
      </c>
      <c r="W76" s="16"/>
    </row>
    <row r="77">
      <c r="A77" s="94" t="s">
        <v>265</v>
      </c>
      <c r="B77" s="95">
        <v>1.0</v>
      </c>
      <c r="C77" s="61"/>
      <c r="D77" s="61">
        <v>0.0</v>
      </c>
      <c r="G77" s="95"/>
      <c r="H77" s="95">
        <v>3.0</v>
      </c>
      <c r="I77" s="61">
        <v>0.0</v>
      </c>
      <c r="L77" s="16"/>
      <c r="M77" s="67"/>
      <c r="N77" s="67"/>
      <c r="W77" s="16"/>
    </row>
    <row r="78">
      <c r="A78" s="94" t="s">
        <v>266</v>
      </c>
      <c r="B78" s="96">
        <v>1.0</v>
      </c>
      <c r="C78" s="59"/>
      <c r="D78" s="59">
        <v>0.0</v>
      </c>
      <c r="G78" s="97"/>
      <c r="H78" s="97">
        <v>3.0</v>
      </c>
      <c r="I78" s="98">
        <v>12.0</v>
      </c>
      <c r="W78" s="16"/>
    </row>
    <row r="79">
      <c r="A79" s="94" t="s">
        <v>267</v>
      </c>
      <c r="B79" s="95">
        <v>1.0</v>
      </c>
      <c r="C79" s="61"/>
      <c r="D79" s="61">
        <v>0.0</v>
      </c>
      <c r="G79" s="95"/>
      <c r="H79" s="95">
        <v>3.0</v>
      </c>
      <c r="I79" s="61">
        <v>7.0</v>
      </c>
      <c r="L79" s="88"/>
      <c r="M79" s="62"/>
      <c r="N79" s="62"/>
      <c r="O79" s="62"/>
      <c r="P79" s="62"/>
      <c r="Q79" s="62"/>
      <c r="R79" s="62"/>
      <c r="S79" s="62"/>
      <c r="T79" s="62"/>
      <c r="W79" s="16" t="s">
        <v>369</v>
      </c>
    </row>
    <row r="80">
      <c r="A80" s="94" t="s">
        <v>268</v>
      </c>
      <c r="B80" s="96">
        <v>4.0</v>
      </c>
      <c r="C80" s="59"/>
      <c r="D80" s="59">
        <v>0.0</v>
      </c>
      <c r="G80" s="97"/>
      <c r="H80" s="97">
        <v>0.0</v>
      </c>
      <c r="I80" s="98">
        <v>0.0</v>
      </c>
      <c r="W80" s="16" t="s">
        <v>370</v>
      </c>
    </row>
    <row r="81">
      <c r="A81" s="94" t="s">
        <v>269</v>
      </c>
      <c r="B81" s="95">
        <v>0.0</v>
      </c>
      <c r="C81" s="61"/>
      <c r="D81" s="61">
        <v>0.0</v>
      </c>
      <c r="G81" s="95"/>
      <c r="H81" s="95">
        <v>3.0</v>
      </c>
      <c r="I81" s="61">
        <v>12.0</v>
      </c>
      <c r="L81" s="16"/>
      <c r="M81" s="67"/>
      <c r="N81" s="67"/>
      <c r="O81" s="67"/>
      <c r="P81" s="67"/>
      <c r="Q81" s="67"/>
      <c r="R81" s="67"/>
      <c r="S81" s="67"/>
      <c r="T81" s="67"/>
      <c r="W81" s="16" t="s">
        <v>371</v>
      </c>
    </row>
    <row r="82">
      <c r="A82" s="94" t="s">
        <v>372</v>
      </c>
      <c r="B82" s="96">
        <v>8.0</v>
      </c>
      <c r="C82" s="99"/>
      <c r="D82" s="99">
        <v>5.0</v>
      </c>
      <c r="G82" s="98"/>
      <c r="H82" s="98">
        <v>0.0</v>
      </c>
      <c r="I82" s="98">
        <v>0.0</v>
      </c>
      <c r="W82" s="16" t="s">
        <v>373</v>
      </c>
    </row>
    <row r="83">
      <c r="A83" s="16" t="s">
        <v>374</v>
      </c>
      <c r="B83" s="95">
        <v>5.0</v>
      </c>
      <c r="C83" s="61"/>
      <c r="D83" s="61">
        <v>4.0</v>
      </c>
      <c r="G83" s="95"/>
      <c r="H83" s="95">
        <v>7.0</v>
      </c>
      <c r="I83" s="61">
        <v>4.0</v>
      </c>
    </row>
    <row r="84">
      <c r="A84" s="53"/>
      <c r="B84" s="53"/>
      <c r="C84" s="53"/>
      <c r="D84" s="53"/>
      <c r="E84" s="53"/>
      <c r="F84" s="53"/>
      <c r="G84" s="53"/>
      <c r="H84" s="53"/>
      <c r="I84" s="53"/>
      <c r="W84" s="16"/>
    </row>
    <row r="85">
      <c r="A85" s="53"/>
      <c r="B85" s="53"/>
      <c r="C85" s="53"/>
      <c r="D85" s="53"/>
      <c r="E85" s="53"/>
      <c r="F85" s="53"/>
      <c r="G85" s="53"/>
      <c r="H85" s="53"/>
      <c r="I85" s="53"/>
      <c r="W85" s="16"/>
    </row>
    <row r="86">
      <c r="A86" s="53"/>
      <c r="B86" s="53"/>
      <c r="C86" s="53"/>
      <c r="D86" s="53"/>
      <c r="E86" s="53"/>
      <c r="F86" s="53"/>
      <c r="G86" s="53"/>
      <c r="H86" s="53"/>
      <c r="I86" s="53"/>
      <c r="L86" s="100"/>
      <c r="W86" s="16"/>
    </row>
    <row r="87">
      <c r="A87" s="101" t="s">
        <v>375</v>
      </c>
    </row>
    <row r="88">
      <c r="A88" s="16" t="s">
        <v>376</v>
      </c>
      <c r="B88" s="54" t="s">
        <v>310</v>
      </c>
      <c r="E88" s="102"/>
      <c r="F88" s="102" t="s">
        <v>311</v>
      </c>
      <c r="W88" s="16" t="s">
        <v>377</v>
      </c>
    </row>
    <row r="89">
      <c r="B89" s="56" t="s">
        <v>312</v>
      </c>
      <c r="C89" s="56"/>
      <c r="D89" s="56" t="s">
        <v>313</v>
      </c>
      <c r="E89" s="56"/>
      <c r="F89" s="56" t="s">
        <v>312</v>
      </c>
      <c r="G89" s="56"/>
      <c r="H89" s="56" t="s">
        <v>313</v>
      </c>
      <c r="W89" s="16" t="s">
        <v>378</v>
      </c>
    </row>
    <row r="90">
      <c r="A90" s="16">
        <v>0.0</v>
      </c>
      <c r="B90" s="97">
        <f t="array" ref="B90:B103">FREQUENCY(B4:B83,A90:A102)</f>
        <v>15</v>
      </c>
      <c r="C90" s="97"/>
      <c r="D90" s="97">
        <f t="array" ref="D90:D103">FREQUENCY(D4:D83,A90:A102)</f>
        <v>32</v>
      </c>
      <c r="E90" s="103"/>
      <c r="F90" s="103">
        <f t="array" ref="F90:F103">FREQUENCY(H4:H83,A90:A102)</f>
        <v>23</v>
      </c>
      <c r="G90" s="103"/>
      <c r="H90" s="103">
        <f t="array" ref="H90:H103">FREQUENCY(I4:I83,A90:A102)</f>
        <v>28</v>
      </c>
      <c r="W90" s="16" t="s">
        <v>379</v>
      </c>
    </row>
    <row r="91">
      <c r="A91" s="16">
        <v>1.0</v>
      </c>
      <c r="B91" s="95">
        <v>9.0</v>
      </c>
      <c r="C91" s="95"/>
      <c r="D91" s="95">
        <v>10.0</v>
      </c>
      <c r="E91" s="95"/>
      <c r="F91" s="95">
        <v>6.0</v>
      </c>
      <c r="G91" s="95"/>
      <c r="H91" s="95">
        <v>11.0</v>
      </c>
      <c r="W91" s="16" t="s">
        <v>380</v>
      </c>
    </row>
    <row r="92">
      <c r="A92" s="16">
        <v>2.0</v>
      </c>
      <c r="B92" s="97">
        <v>8.0</v>
      </c>
      <c r="C92" s="97"/>
      <c r="D92" s="97">
        <v>8.0</v>
      </c>
      <c r="E92" s="103"/>
      <c r="F92" s="103">
        <v>8.0</v>
      </c>
      <c r="G92" s="103"/>
      <c r="H92" s="103">
        <v>10.0</v>
      </c>
      <c r="L92" s="100"/>
      <c r="W92" s="16" t="s">
        <v>381</v>
      </c>
    </row>
    <row r="93">
      <c r="A93" s="16">
        <v>3.0</v>
      </c>
      <c r="B93" s="95">
        <v>20.0</v>
      </c>
      <c r="C93" s="95"/>
      <c r="D93" s="95">
        <v>7.0</v>
      </c>
      <c r="E93" s="95"/>
      <c r="F93" s="95">
        <v>18.0</v>
      </c>
      <c r="G93" s="95"/>
      <c r="H93" s="95">
        <v>9.0</v>
      </c>
      <c r="W93" s="16" t="s">
        <v>382</v>
      </c>
    </row>
    <row r="94">
      <c r="A94" s="16">
        <v>4.0</v>
      </c>
      <c r="B94" s="97">
        <v>12.0</v>
      </c>
      <c r="C94" s="97"/>
      <c r="D94" s="97">
        <v>8.0</v>
      </c>
      <c r="E94" s="103"/>
      <c r="F94" s="103">
        <v>4.0</v>
      </c>
      <c r="G94" s="103"/>
      <c r="H94" s="103">
        <v>5.0</v>
      </c>
      <c r="W94" s="16" t="s">
        <v>383</v>
      </c>
    </row>
    <row r="95">
      <c r="A95" s="16">
        <v>5.0</v>
      </c>
      <c r="B95" s="95">
        <v>4.0</v>
      </c>
      <c r="C95" s="95"/>
      <c r="D95" s="95">
        <v>4.0</v>
      </c>
      <c r="E95" s="95"/>
      <c r="F95" s="95">
        <v>3.0</v>
      </c>
      <c r="G95" s="95"/>
      <c r="H95" s="95">
        <v>2.0</v>
      </c>
      <c r="W95" s="16" t="s">
        <v>384</v>
      </c>
    </row>
    <row r="96">
      <c r="A96" s="16">
        <v>6.0</v>
      </c>
      <c r="B96" s="97">
        <v>5.0</v>
      </c>
      <c r="C96" s="97"/>
      <c r="D96" s="97">
        <v>2.0</v>
      </c>
      <c r="E96" s="103"/>
      <c r="F96" s="103">
        <v>7.0</v>
      </c>
      <c r="G96" s="103"/>
      <c r="H96" s="103">
        <v>3.0</v>
      </c>
      <c r="W96" s="16" t="s">
        <v>385</v>
      </c>
    </row>
    <row r="97">
      <c r="A97" s="16">
        <v>7.0</v>
      </c>
      <c r="B97" s="95">
        <v>2.0</v>
      </c>
      <c r="C97" s="95"/>
      <c r="D97" s="95">
        <v>3.0</v>
      </c>
      <c r="E97" s="95"/>
      <c r="F97" s="95">
        <v>3.0</v>
      </c>
      <c r="G97" s="95"/>
      <c r="H97" s="95">
        <v>1.0</v>
      </c>
      <c r="W97" s="16" t="s">
        <v>386</v>
      </c>
    </row>
    <row r="98">
      <c r="A98" s="16">
        <v>8.0</v>
      </c>
      <c r="B98" s="97">
        <v>3.0</v>
      </c>
      <c r="C98" s="97"/>
      <c r="D98" s="97">
        <v>0.0</v>
      </c>
      <c r="E98" s="103"/>
      <c r="F98" s="103">
        <v>3.0</v>
      </c>
      <c r="G98" s="103"/>
      <c r="H98" s="103">
        <v>0.0</v>
      </c>
      <c r="L98" s="104">
        <v>6.0</v>
      </c>
      <c r="M98" s="73"/>
      <c r="N98" s="73"/>
      <c r="W98" s="16" t="s">
        <v>387</v>
      </c>
    </row>
    <row r="99">
      <c r="A99" s="16">
        <v>9.0</v>
      </c>
      <c r="B99" s="95">
        <v>0.0</v>
      </c>
      <c r="C99" s="95"/>
      <c r="D99" s="95">
        <v>1.0</v>
      </c>
      <c r="E99" s="95"/>
      <c r="F99" s="95">
        <v>1.0</v>
      </c>
      <c r="G99" s="95"/>
      <c r="H99" s="95">
        <v>4.0</v>
      </c>
      <c r="L99" s="16" t="s">
        <v>388</v>
      </c>
      <c r="M99" s="67">
        <v>2.0</v>
      </c>
      <c r="N99" s="67">
        <v>2.0</v>
      </c>
      <c r="W99" s="16" t="s">
        <v>389</v>
      </c>
    </row>
    <row r="100">
      <c r="A100" s="16">
        <v>10.0</v>
      </c>
      <c r="B100" s="97">
        <v>1.0</v>
      </c>
      <c r="C100" s="97"/>
      <c r="D100" s="97">
        <v>1.0</v>
      </c>
      <c r="E100" s="103"/>
      <c r="F100" s="103">
        <v>2.0</v>
      </c>
      <c r="G100" s="103"/>
      <c r="H100" s="103">
        <v>0.0</v>
      </c>
      <c r="L100" s="16" t="s">
        <v>390</v>
      </c>
      <c r="M100" s="67">
        <v>4.0</v>
      </c>
      <c r="N100" s="67">
        <v>4.0</v>
      </c>
      <c r="W100" s="16" t="s">
        <v>391</v>
      </c>
    </row>
    <row r="101">
      <c r="A101" s="16">
        <v>11.0</v>
      </c>
      <c r="B101" s="95">
        <v>0.0</v>
      </c>
      <c r="C101" s="95"/>
      <c r="D101" s="95">
        <v>1.0</v>
      </c>
      <c r="E101" s="95"/>
      <c r="F101" s="95">
        <v>1.0</v>
      </c>
      <c r="G101" s="95"/>
      <c r="H101" s="95">
        <v>0.0</v>
      </c>
      <c r="L101" s="16" t="s">
        <v>392</v>
      </c>
      <c r="M101" s="67">
        <v>2.0</v>
      </c>
      <c r="N101" s="67">
        <v>2.0</v>
      </c>
      <c r="W101" s="16" t="s">
        <v>393</v>
      </c>
    </row>
    <row r="102">
      <c r="A102" s="16">
        <v>12.0</v>
      </c>
      <c r="B102" s="97">
        <v>1.0</v>
      </c>
      <c r="C102" s="97"/>
      <c r="D102" s="97">
        <v>3.0</v>
      </c>
      <c r="E102" s="103"/>
      <c r="F102" s="103">
        <v>1.0</v>
      </c>
      <c r="G102" s="103"/>
      <c r="H102" s="103">
        <v>7.0</v>
      </c>
      <c r="L102" s="16" t="s">
        <v>317</v>
      </c>
      <c r="M102" s="67">
        <v>8.0</v>
      </c>
      <c r="N102" s="67">
        <v>8.0</v>
      </c>
      <c r="W102" s="16" t="s">
        <v>394</v>
      </c>
    </row>
    <row r="103">
      <c r="B103" s="105">
        <v>0.0</v>
      </c>
      <c r="D103" s="105">
        <v>0.0</v>
      </c>
      <c r="F103" s="105">
        <v>0.0</v>
      </c>
      <c r="H103" s="105">
        <v>0.0</v>
      </c>
      <c r="W103" s="16" t="s">
        <v>395</v>
      </c>
    </row>
    <row r="104">
      <c r="A104" s="16" t="s">
        <v>396</v>
      </c>
      <c r="B104" s="105">
        <f>SUM(B89:B102)</f>
        <v>80</v>
      </c>
      <c r="D104" s="105">
        <f>SUM(D89:D102)</f>
        <v>80</v>
      </c>
      <c r="F104" s="105">
        <f>SUM(F89:F102)</f>
        <v>80</v>
      </c>
      <c r="H104" s="105">
        <f>SUM(H89:H102)</f>
        <v>80</v>
      </c>
      <c r="L104" s="104">
        <v>0.0</v>
      </c>
      <c r="M104" s="73"/>
      <c r="N104" s="73"/>
      <c r="W104" s="16" t="s">
        <v>397</v>
      </c>
    </row>
    <row r="105">
      <c r="L105" s="16" t="s">
        <v>388</v>
      </c>
      <c r="M105" s="67">
        <v>2.0</v>
      </c>
      <c r="N105" s="67">
        <v>2.0</v>
      </c>
      <c r="W105" s="16" t="s">
        <v>398</v>
      </c>
    </row>
    <row r="106">
      <c r="A106" s="101" t="s">
        <v>399</v>
      </c>
      <c r="L106" s="16" t="s">
        <v>390</v>
      </c>
      <c r="M106" s="67">
        <v>0.0</v>
      </c>
      <c r="N106" s="67">
        <v>0.0</v>
      </c>
      <c r="W106" s="16" t="s">
        <v>400</v>
      </c>
    </row>
    <row r="107">
      <c r="A107" s="53"/>
      <c r="B107" s="54" t="s">
        <v>310</v>
      </c>
      <c r="E107" s="102"/>
      <c r="F107" s="102" t="s">
        <v>311</v>
      </c>
      <c r="L107" s="16" t="s">
        <v>392</v>
      </c>
      <c r="M107" s="67">
        <v>0.0</v>
      </c>
      <c r="N107" s="67">
        <v>0.0</v>
      </c>
      <c r="W107" s="16" t="s">
        <v>401</v>
      </c>
    </row>
    <row r="108">
      <c r="B108" s="56" t="s">
        <v>312</v>
      </c>
      <c r="C108" s="56"/>
      <c r="D108" s="56" t="s">
        <v>313</v>
      </c>
      <c r="E108" s="56"/>
      <c r="F108" s="56" t="s">
        <v>312</v>
      </c>
      <c r="G108" s="56"/>
      <c r="H108" s="56" t="s">
        <v>313</v>
      </c>
      <c r="L108" s="16" t="s">
        <v>317</v>
      </c>
      <c r="M108" s="67">
        <v>0.0</v>
      </c>
      <c r="N108" s="67">
        <v>0.0</v>
      </c>
      <c r="W108" s="16" t="s">
        <v>402</v>
      </c>
    </row>
    <row r="109">
      <c r="A109" s="16">
        <v>0.0</v>
      </c>
      <c r="B109" s="106">
        <f>IFERROR(__xludf.DUMMYFUNCTION("PERCENTIF(B4:B83,A109:A121)"),0.1875)</f>
        <v>0.1875</v>
      </c>
      <c r="C109" s="97"/>
      <c r="D109" s="106">
        <f>IFERROR(__xludf.DUMMYFUNCTION("PERCENTIF(D4:D83,A109:A121)"),0.4)</f>
        <v>0.4</v>
      </c>
      <c r="E109" s="103"/>
      <c r="F109" s="107">
        <f>IFERROR(__xludf.DUMMYFUNCTION("PERCENTIF(H4:H83,A109:A121)"),0.2875)</f>
        <v>0.2875</v>
      </c>
      <c r="G109" s="103"/>
      <c r="H109" s="107">
        <f>IFERROR(__xludf.DUMMYFUNCTION("PERCENTIF(I4:I83,A109:A121)"),0.35)</f>
        <v>0.35</v>
      </c>
    </row>
    <row r="110">
      <c r="A110" s="16">
        <v>1.0</v>
      </c>
      <c r="B110" s="108">
        <f>IFERROR(__xludf.DUMMYFUNCTION("PERCENTIF(B4:B83,A109:A121)"),0.1125)</f>
        <v>0.1125</v>
      </c>
      <c r="C110" s="95"/>
      <c r="D110" s="108">
        <f>IFERROR(__xludf.DUMMYFUNCTION("PERCENTIF(D4:D83,A109:A121)"),0.125)</f>
        <v>0.125</v>
      </c>
      <c r="E110" s="95"/>
      <c r="F110" s="108">
        <f>IFERROR(__xludf.DUMMYFUNCTION("PERCENTIF(H4:H83,A109:A121)"),0.075)</f>
        <v>0.075</v>
      </c>
      <c r="G110" s="95"/>
      <c r="H110" s="108">
        <f>IFERROR(__xludf.DUMMYFUNCTION("PERCENTIF(I4:I83,A109:A121)"),0.1375)</f>
        <v>0.1375</v>
      </c>
      <c r="L110" s="104">
        <v>1.0</v>
      </c>
      <c r="M110" s="73"/>
      <c r="N110" s="73"/>
      <c r="W110" s="16" t="s">
        <v>403</v>
      </c>
    </row>
    <row r="111">
      <c r="A111" s="16">
        <v>2.0</v>
      </c>
      <c r="B111" s="106">
        <f>IFERROR(__xludf.DUMMYFUNCTION("PERCENTIF(B4:B83,A109:A121)"),0.1)</f>
        <v>0.1</v>
      </c>
      <c r="C111" s="97"/>
      <c r="D111" s="106">
        <f>IFERROR(__xludf.DUMMYFUNCTION("PERCENTIF(D4:D83,A109:A121)"),0.1)</f>
        <v>0.1</v>
      </c>
      <c r="E111" s="103"/>
      <c r="F111" s="107">
        <f>IFERROR(__xludf.DUMMYFUNCTION("PERCENTIF(H4:H83,A109:A121)"),0.1)</f>
        <v>0.1</v>
      </c>
      <c r="G111" s="103"/>
      <c r="H111" s="107">
        <f>IFERROR(__xludf.DUMMYFUNCTION("PERCENTIF(I4:I83,A109:A121)"),0.125)</f>
        <v>0.125</v>
      </c>
      <c r="L111" s="16" t="s">
        <v>388</v>
      </c>
      <c r="M111" s="67">
        <v>2.0</v>
      </c>
      <c r="N111" s="67">
        <v>2.0</v>
      </c>
      <c r="W111" s="16" t="s">
        <v>404</v>
      </c>
    </row>
    <row r="112">
      <c r="A112" s="16">
        <v>3.0</v>
      </c>
      <c r="B112" s="108">
        <f>IFERROR(__xludf.DUMMYFUNCTION("PERCENTIF(B4:B83,A109:A121)"),0.25)</f>
        <v>0.25</v>
      </c>
      <c r="C112" s="95"/>
      <c r="D112" s="108">
        <f>IFERROR(__xludf.DUMMYFUNCTION("PERCENTIF(D4:D83,A109:A121)"),0.0875)</f>
        <v>0.0875</v>
      </c>
      <c r="E112" s="95"/>
      <c r="F112" s="108">
        <f>IFERROR(__xludf.DUMMYFUNCTION("PERCENTIF(H4:H83,A109:A121)"),0.225)</f>
        <v>0.225</v>
      </c>
      <c r="G112" s="95"/>
      <c r="H112" s="108">
        <f>IFERROR(__xludf.DUMMYFUNCTION("PERCENTIF(I4:I83,A109:A121)"),0.1125)</f>
        <v>0.1125</v>
      </c>
      <c r="L112" s="16" t="s">
        <v>390</v>
      </c>
      <c r="M112" s="67">
        <v>0.0</v>
      </c>
      <c r="N112" s="67">
        <v>0.0</v>
      </c>
      <c r="W112" s="16" t="s">
        <v>405</v>
      </c>
    </row>
    <row r="113">
      <c r="A113" s="16">
        <v>4.0</v>
      </c>
      <c r="B113" s="106">
        <f>IFERROR(__xludf.DUMMYFUNCTION("PERCENTIF(B4:B83,A109:A121)"),0.15)</f>
        <v>0.15</v>
      </c>
      <c r="C113" s="97"/>
      <c r="D113" s="106">
        <f>IFERROR(__xludf.DUMMYFUNCTION("PERCENTIF(D4:D83,A109:A121)"),0.1)</f>
        <v>0.1</v>
      </c>
      <c r="E113" s="103"/>
      <c r="F113" s="107">
        <f>IFERROR(__xludf.DUMMYFUNCTION("PERCENTIF(H4:H83,A109:A121)"),0.05)</f>
        <v>0.05</v>
      </c>
      <c r="G113" s="103"/>
      <c r="H113" s="107">
        <f>IFERROR(__xludf.DUMMYFUNCTION("PERCENTIF(I4:I83,A109:A121)"),0.0625)</f>
        <v>0.0625</v>
      </c>
      <c r="L113" s="16" t="s">
        <v>392</v>
      </c>
      <c r="M113" s="67">
        <v>0.0</v>
      </c>
      <c r="N113" s="67">
        <v>0.0</v>
      </c>
      <c r="W113" s="16" t="s">
        <v>406</v>
      </c>
    </row>
    <row r="114">
      <c r="A114" s="16">
        <v>5.0</v>
      </c>
      <c r="B114" s="108">
        <f>IFERROR(__xludf.DUMMYFUNCTION("PERCENTIF(B4:B83,A109:A121)"),0.05)</f>
        <v>0.05</v>
      </c>
      <c r="C114" s="95"/>
      <c r="D114" s="108">
        <f>IFERROR(__xludf.DUMMYFUNCTION("PERCENTIF(D4:D83,A109:A121)"),0.05)</f>
        <v>0.05</v>
      </c>
      <c r="E114" s="95"/>
      <c r="F114" s="108">
        <f>IFERROR(__xludf.DUMMYFUNCTION("PERCENTIF(H4:H83,A109:A121)"),0.0375)</f>
        <v>0.0375</v>
      </c>
      <c r="G114" s="95"/>
      <c r="H114" s="108">
        <f>IFERROR(__xludf.DUMMYFUNCTION("PERCENTIF(I4:I83,A109:A121)"),0.025)</f>
        <v>0.025</v>
      </c>
      <c r="L114" s="16" t="s">
        <v>317</v>
      </c>
      <c r="M114" s="67">
        <v>0.0</v>
      </c>
      <c r="N114" s="67">
        <v>0.0</v>
      </c>
      <c r="W114" s="16" t="s">
        <v>407</v>
      </c>
    </row>
    <row r="115">
      <c r="A115" s="16">
        <v>6.0</v>
      </c>
      <c r="B115" s="106">
        <f>IFERROR(__xludf.DUMMYFUNCTION("PERCENTIF(B4:B83,A109:A121)"),0.0625)</f>
        <v>0.0625</v>
      </c>
      <c r="C115" s="97"/>
      <c r="D115" s="106">
        <f>IFERROR(__xludf.DUMMYFUNCTION("PERCENTIF(D4:D83,A109:A121)"),0.025)</f>
        <v>0.025</v>
      </c>
      <c r="E115" s="103"/>
      <c r="F115" s="107">
        <f>IFERROR(__xludf.DUMMYFUNCTION("PERCENTIF(H4:H83,A109:A121)"),0.0875)</f>
        <v>0.0875</v>
      </c>
      <c r="G115" s="103"/>
      <c r="H115" s="107">
        <f>IFERROR(__xludf.DUMMYFUNCTION("PERCENTIF(I4:I83,A109:A121)"),0.0375)</f>
        <v>0.0375</v>
      </c>
      <c r="W115" s="16" t="s">
        <v>408</v>
      </c>
    </row>
    <row r="116">
      <c r="A116" s="16">
        <v>7.0</v>
      </c>
      <c r="B116" s="108">
        <f>IFERROR(__xludf.DUMMYFUNCTION("PERCENTIF(B4:B83,A109:A121)"),0.025)</f>
        <v>0.025</v>
      </c>
      <c r="C116" s="95"/>
      <c r="D116" s="108">
        <f>IFERROR(__xludf.DUMMYFUNCTION("PERCENTIF(D4:D83,A109:A121)"),0.0375)</f>
        <v>0.0375</v>
      </c>
      <c r="E116" s="95"/>
      <c r="F116" s="108">
        <f>IFERROR(__xludf.DUMMYFUNCTION("PERCENTIF(H4:H83,A109:A121)"),0.0375)</f>
        <v>0.0375</v>
      </c>
      <c r="G116" s="95"/>
      <c r="H116" s="108">
        <f>IFERROR(__xludf.DUMMYFUNCTION("PERCENTIF(I4:I83,A109:A121)"),0.0125)</f>
        <v>0.0125</v>
      </c>
      <c r="L116" s="104">
        <v>6.0</v>
      </c>
      <c r="M116" s="73"/>
      <c r="N116" s="73"/>
      <c r="W116" s="16" t="s">
        <v>409</v>
      </c>
    </row>
    <row r="117">
      <c r="A117" s="16">
        <v>8.0</v>
      </c>
      <c r="B117" s="106">
        <f>IFERROR(__xludf.DUMMYFUNCTION("PERCENTIF(B4:B83,A109:A121)"),0.0375)</f>
        <v>0.0375</v>
      </c>
      <c r="C117" s="97"/>
      <c r="D117" s="106">
        <f>IFERROR(__xludf.DUMMYFUNCTION("PERCENTIF(D4:D83,A109:A121)"),0.0)</f>
        <v>0</v>
      </c>
      <c r="E117" s="103"/>
      <c r="F117" s="107">
        <f>IFERROR(__xludf.DUMMYFUNCTION("PERCENTIF(H4:H83,A109:A121)"),0.0375)</f>
        <v>0.0375</v>
      </c>
      <c r="G117" s="103"/>
      <c r="H117" s="107">
        <f>IFERROR(__xludf.DUMMYFUNCTION("PERCENTIF(I4:I83,A109:A121)"),0.0)</f>
        <v>0</v>
      </c>
      <c r="L117" s="16" t="s">
        <v>388</v>
      </c>
      <c r="M117" s="67">
        <v>2.0</v>
      </c>
      <c r="N117" s="67">
        <v>2.0</v>
      </c>
      <c r="W117" s="16" t="s">
        <v>410</v>
      </c>
    </row>
    <row r="118">
      <c r="A118" s="16">
        <v>9.0</v>
      </c>
      <c r="B118" s="108">
        <f>IFERROR(__xludf.DUMMYFUNCTION("PERCENTIF(B4:B83,A109:A121)"),0.0)</f>
        <v>0</v>
      </c>
      <c r="C118" s="95"/>
      <c r="D118" s="108">
        <f>IFERROR(__xludf.DUMMYFUNCTION("PERCENTIF(D4:D83,A109:A121)"),0.0125)</f>
        <v>0.0125</v>
      </c>
      <c r="E118" s="95"/>
      <c r="F118" s="108">
        <f>IFERROR(__xludf.DUMMYFUNCTION("PERCENTIF(H4:H83,A109:A121)"),0.0125)</f>
        <v>0.0125</v>
      </c>
      <c r="G118" s="95"/>
      <c r="H118" s="108">
        <f>IFERROR(__xludf.DUMMYFUNCTION("PERCENTIF(I4:I83,A109:A121)"),0.05)</f>
        <v>0.05</v>
      </c>
      <c r="L118" s="16" t="s">
        <v>390</v>
      </c>
      <c r="M118" s="67">
        <v>10.0</v>
      </c>
      <c r="N118" s="67">
        <v>10.0</v>
      </c>
      <c r="W118" s="16" t="s">
        <v>411</v>
      </c>
    </row>
    <row r="119">
      <c r="A119" s="16">
        <v>10.0</v>
      </c>
      <c r="B119" s="106">
        <f>IFERROR(__xludf.DUMMYFUNCTION("PERCENTIF(B4:B83,A109:A121)"),0.0125)</f>
        <v>0.0125</v>
      </c>
      <c r="C119" s="97"/>
      <c r="D119" s="106">
        <f>IFERROR(__xludf.DUMMYFUNCTION("PERCENTIF(D4:D83,A109:A121)"),0.0125)</f>
        <v>0.0125</v>
      </c>
      <c r="E119" s="103"/>
      <c r="F119" s="107">
        <f>IFERROR(__xludf.DUMMYFUNCTION("PERCENTIF(H4:H83,A109:A121)"),0.025)</f>
        <v>0.025</v>
      </c>
      <c r="G119" s="103"/>
      <c r="H119" s="107">
        <f>IFERROR(__xludf.DUMMYFUNCTION("PERCENTIF(I4:I83,A109:A121)"),0.0)</f>
        <v>0</v>
      </c>
      <c r="L119" s="16" t="s">
        <v>392</v>
      </c>
      <c r="M119" s="67">
        <v>5.0</v>
      </c>
      <c r="N119" s="67">
        <v>5.0</v>
      </c>
      <c r="W119" s="16" t="s">
        <v>412</v>
      </c>
    </row>
    <row r="120">
      <c r="A120" s="16">
        <v>11.0</v>
      </c>
      <c r="B120" s="108">
        <f>IFERROR(__xludf.DUMMYFUNCTION("PERCENTIF(B4:B83,A109:A121)"),0.0)</f>
        <v>0</v>
      </c>
      <c r="C120" s="95"/>
      <c r="D120" s="108">
        <f>IFERROR(__xludf.DUMMYFUNCTION("PERCENTIF(D4:D83,A109:A121)"),0.0125)</f>
        <v>0.0125</v>
      </c>
      <c r="E120" s="95"/>
      <c r="F120" s="108">
        <f>IFERROR(__xludf.DUMMYFUNCTION("PERCENTIF(H4:H83,A109:A121)"),0.0125)</f>
        <v>0.0125</v>
      </c>
      <c r="G120" s="95"/>
      <c r="H120" s="108">
        <f>IFERROR(__xludf.DUMMYFUNCTION("PERCENTIF(I4:I83,A109:A121)"),0.0)</f>
        <v>0</v>
      </c>
      <c r="L120" s="16" t="s">
        <v>317</v>
      </c>
      <c r="M120" s="67">
        <v>2.0</v>
      </c>
      <c r="N120" s="67">
        <v>2.0</v>
      </c>
      <c r="W120" s="16" t="s">
        <v>413</v>
      </c>
    </row>
    <row r="121">
      <c r="A121" s="16">
        <v>12.0</v>
      </c>
      <c r="B121" s="106">
        <f>IFERROR(__xludf.DUMMYFUNCTION("PERCENTIF(B4:B83,A109:A121)"),0.0125)</f>
        <v>0.0125</v>
      </c>
      <c r="C121" s="97"/>
      <c r="D121" s="106">
        <f>IFERROR(__xludf.DUMMYFUNCTION("PERCENTIF(D4:D83,A109:A121)"),0.0375)</f>
        <v>0.0375</v>
      </c>
      <c r="E121" s="103"/>
      <c r="F121" s="107">
        <f>IFERROR(__xludf.DUMMYFUNCTION("PERCENTIF(H4:H83,A109:A121)"),0.0125)</f>
        <v>0.0125</v>
      </c>
      <c r="G121" s="103"/>
      <c r="H121" s="107">
        <f>IFERROR(__xludf.DUMMYFUNCTION("PERCENTIF(I4:I83,A109:A121)"),0.0875)</f>
        <v>0.0875</v>
      </c>
      <c r="W121" s="16" t="s">
        <v>414</v>
      </c>
    </row>
    <row r="122">
      <c r="L122" s="104">
        <v>4.0</v>
      </c>
      <c r="M122" s="73"/>
      <c r="N122" s="73"/>
      <c r="W122" s="16" t="s">
        <v>372</v>
      </c>
    </row>
    <row r="123">
      <c r="A123" s="16" t="s">
        <v>396</v>
      </c>
      <c r="B123" s="109">
        <f>SUM(B109:B121)</f>
        <v>1</v>
      </c>
      <c r="D123" s="109">
        <f>SUM(D109:D121)</f>
        <v>1</v>
      </c>
      <c r="F123" s="109">
        <f>SUM(F109:F121)</f>
        <v>1</v>
      </c>
      <c r="H123" s="109">
        <f>SUM(H109:H121)</f>
        <v>1</v>
      </c>
      <c r="L123" s="16" t="s">
        <v>388</v>
      </c>
      <c r="M123" s="67">
        <v>2.0</v>
      </c>
      <c r="N123" s="67">
        <v>2.0</v>
      </c>
      <c r="W123" s="16" t="s">
        <v>415</v>
      </c>
    </row>
    <row r="124">
      <c r="L124" s="16" t="s">
        <v>390</v>
      </c>
      <c r="M124" s="67">
        <v>5.0</v>
      </c>
      <c r="N124" s="67">
        <v>5.0</v>
      </c>
      <c r="W124" s="16" t="s">
        <v>416</v>
      </c>
    </row>
    <row r="125">
      <c r="L125" s="16" t="s">
        <v>392</v>
      </c>
      <c r="M125" s="67">
        <v>2.5</v>
      </c>
      <c r="N125" s="67">
        <v>2.5</v>
      </c>
      <c r="W125" s="110" t="s">
        <v>372</v>
      </c>
      <c r="X125" s="110" t="s">
        <v>417</v>
      </c>
      <c r="Y125" s="16">
        <v>0.0</v>
      </c>
    </row>
    <row r="126">
      <c r="L126" s="16" t="s">
        <v>317</v>
      </c>
      <c r="M126" s="67">
        <v>0.5</v>
      </c>
      <c r="N126" s="67">
        <v>0.5</v>
      </c>
      <c r="W126" s="111"/>
      <c r="X126" s="111"/>
    </row>
    <row r="127">
      <c r="W127" s="16"/>
    </row>
    <row r="128">
      <c r="L128" s="104">
        <v>2.0</v>
      </c>
      <c r="M128" s="73"/>
      <c r="N128" s="73"/>
      <c r="W128" s="16">
        <v>12.0</v>
      </c>
    </row>
    <row r="129">
      <c r="A129" s="112" t="s">
        <v>418</v>
      </c>
      <c r="N129" s="113">
        <v>2.0</v>
      </c>
      <c r="O129" s="114"/>
      <c r="P129" s="114"/>
      <c r="W129" s="115" t="s">
        <v>419</v>
      </c>
    </row>
    <row r="130">
      <c r="A130" s="112" t="s">
        <v>420</v>
      </c>
      <c r="N130" s="113">
        <v>1.0</v>
      </c>
      <c r="O130" s="114"/>
      <c r="P130" s="114"/>
      <c r="W130" s="115" t="s">
        <v>421</v>
      </c>
      <c r="X130" s="16" t="s">
        <v>422</v>
      </c>
      <c r="Y130" s="16" t="s">
        <v>423</v>
      </c>
    </row>
    <row r="131">
      <c r="A131" s="116" t="s">
        <v>424</v>
      </c>
      <c r="L131" s="116" t="s">
        <v>392</v>
      </c>
      <c r="M131" s="117">
        <v>0.5</v>
      </c>
      <c r="N131" s="113">
        <v>0.5</v>
      </c>
      <c r="O131" s="114"/>
      <c r="P131" s="114"/>
      <c r="W131" s="115" t="s">
        <v>425</v>
      </c>
      <c r="X131" s="16" t="s">
        <v>423</v>
      </c>
      <c r="Y131" s="16" t="s">
        <v>426</v>
      </c>
    </row>
    <row r="132">
      <c r="A132" s="116" t="s">
        <v>427</v>
      </c>
      <c r="N132" s="113">
        <v>0.5</v>
      </c>
      <c r="O132" s="114"/>
      <c r="P132" s="114"/>
      <c r="W132" s="115" t="s">
        <v>428</v>
      </c>
      <c r="X132" s="16" t="s">
        <v>429</v>
      </c>
    </row>
    <row r="133">
      <c r="A133" s="118" t="s">
        <v>430</v>
      </c>
      <c r="N133" s="114"/>
      <c r="O133" s="114"/>
      <c r="P133" s="114"/>
      <c r="W133" s="115" t="s">
        <v>431</v>
      </c>
      <c r="X133" s="16" t="s">
        <v>429</v>
      </c>
    </row>
    <row r="134">
      <c r="A134" s="119" t="s">
        <v>432</v>
      </c>
      <c r="N134" s="120"/>
      <c r="O134" s="114"/>
      <c r="P134" s="114"/>
      <c r="V134" s="121">
        <v>45844.0</v>
      </c>
      <c r="W134" s="115" t="s">
        <v>433</v>
      </c>
      <c r="X134" s="16" t="s">
        <v>434</v>
      </c>
      <c r="Y134" s="16" t="s">
        <v>435</v>
      </c>
    </row>
    <row r="13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9" t="s">
        <v>388</v>
      </c>
      <c r="M135" s="113">
        <v>2.0</v>
      </c>
      <c r="N135" s="113">
        <v>2.0</v>
      </c>
      <c r="O135" s="114"/>
      <c r="P135" s="114"/>
      <c r="W135" s="115" t="s">
        <v>436</v>
      </c>
      <c r="Y135" s="16" t="s">
        <v>429</v>
      </c>
    </row>
    <row r="136">
      <c r="A136" s="122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9" t="s">
        <v>390</v>
      </c>
      <c r="M136" s="113">
        <v>4.0</v>
      </c>
      <c r="N136" s="113">
        <v>4.0</v>
      </c>
      <c r="O136" s="114"/>
      <c r="P136" s="114"/>
      <c r="W136" s="115" t="s">
        <v>437</v>
      </c>
      <c r="X136" s="16" t="s">
        <v>438</v>
      </c>
      <c r="Y136" s="16" t="s">
        <v>439</v>
      </c>
    </row>
    <row r="137">
      <c r="A137" s="123" t="s">
        <v>440</v>
      </c>
      <c r="W137" s="115" t="s">
        <v>441</v>
      </c>
      <c r="X137" s="16" t="s">
        <v>429</v>
      </c>
    </row>
    <row r="138">
      <c r="A138" s="124" t="s">
        <v>442</v>
      </c>
      <c r="B138" s="125" t="s">
        <v>443</v>
      </c>
      <c r="C138" s="126"/>
      <c r="D138" s="126"/>
      <c r="E138" s="126"/>
      <c r="F138" s="126"/>
      <c r="G138" s="126"/>
      <c r="H138" s="127"/>
      <c r="I138" s="114"/>
      <c r="L138" s="16" t="s">
        <v>317</v>
      </c>
      <c r="M138" s="67">
        <v>2.0</v>
      </c>
      <c r="N138" s="67">
        <v>2.0</v>
      </c>
      <c r="P138" s="53"/>
      <c r="W138" s="115" t="s">
        <v>444</v>
      </c>
      <c r="X138" s="16">
        <v>0.0</v>
      </c>
      <c r="Y138" s="16">
        <v>0.0</v>
      </c>
    </row>
    <row r="139">
      <c r="A139" s="124" t="s">
        <v>445</v>
      </c>
      <c r="B139" s="125" t="s">
        <v>446</v>
      </c>
      <c r="C139" s="126"/>
      <c r="D139" s="126"/>
      <c r="E139" s="126"/>
      <c r="F139" s="126"/>
      <c r="G139" s="126"/>
      <c r="H139" s="127"/>
      <c r="I139" s="114"/>
      <c r="W139" s="128"/>
    </row>
    <row r="140">
      <c r="A140" s="124" t="s">
        <v>447</v>
      </c>
      <c r="B140" s="125" t="s">
        <v>448</v>
      </c>
      <c r="C140" s="126"/>
      <c r="D140" s="126"/>
      <c r="E140" s="126"/>
      <c r="F140" s="126"/>
      <c r="G140" s="126"/>
      <c r="H140" s="127"/>
      <c r="I140" s="114"/>
      <c r="L140" s="104">
        <v>1.0</v>
      </c>
      <c r="M140" s="73"/>
      <c r="N140" s="73"/>
      <c r="W140" s="128"/>
    </row>
    <row r="141">
      <c r="A141" s="129" t="s">
        <v>449</v>
      </c>
      <c r="B141" s="130" t="s">
        <v>450</v>
      </c>
      <c r="C141" s="131"/>
      <c r="D141" s="131"/>
      <c r="E141" s="131"/>
      <c r="F141" s="131"/>
      <c r="G141" s="131"/>
      <c r="H141" s="132"/>
      <c r="I141" s="114"/>
      <c r="L141" s="16" t="s">
        <v>388</v>
      </c>
      <c r="M141" s="67">
        <v>2.0</v>
      </c>
      <c r="N141" s="67">
        <v>2.0</v>
      </c>
      <c r="W141" s="115" t="s">
        <v>451</v>
      </c>
    </row>
    <row r="142">
      <c r="A142" s="133"/>
      <c r="H142" s="134"/>
      <c r="I142" s="114"/>
      <c r="L142" s="16" t="s">
        <v>390</v>
      </c>
      <c r="M142" s="67">
        <v>5.0</v>
      </c>
      <c r="N142" s="67">
        <v>5.0</v>
      </c>
      <c r="P142" s="114"/>
      <c r="W142" s="115" t="s">
        <v>452</v>
      </c>
      <c r="X142" s="16">
        <v>0.0</v>
      </c>
      <c r="Y142" s="16">
        <v>0.0</v>
      </c>
    </row>
    <row r="143">
      <c r="A143" s="133"/>
      <c r="H143" s="134"/>
      <c r="I143" s="114"/>
      <c r="L143" s="16" t="s">
        <v>392</v>
      </c>
      <c r="M143" s="67">
        <v>2.5</v>
      </c>
      <c r="N143" s="67">
        <v>2.5</v>
      </c>
      <c r="P143" s="114"/>
      <c r="W143" s="128"/>
    </row>
    <row r="144">
      <c r="A144" s="135"/>
      <c r="B144" s="136"/>
      <c r="C144" s="136"/>
      <c r="D144" s="136"/>
      <c r="E144" s="136"/>
      <c r="F144" s="136"/>
      <c r="G144" s="136"/>
      <c r="H144" s="137"/>
      <c r="I144" s="114"/>
      <c r="L144" s="16" t="s">
        <v>317</v>
      </c>
      <c r="M144" s="67">
        <v>0.5</v>
      </c>
      <c r="N144" s="67">
        <v>0.5</v>
      </c>
      <c r="P144" s="114"/>
      <c r="W144" s="128"/>
    </row>
    <row r="145">
      <c r="W145" s="115" t="s">
        <v>453</v>
      </c>
    </row>
    <row r="146">
      <c r="L146" s="104">
        <v>0.0</v>
      </c>
      <c r="M146" s="73"/>
      <c r="N146" s="73"/>
      <c r="W146" s="115" t="s">
        <v>454</v>
      </c>
      <c r="X146" s="16" t="s">
        <v>455</v>
      </c>
      <c r="Y146" s="16" t="s">
        <v>456</v>
      </c>
    </row>
    <row r="147">
      <c r="A147" s="123" t="s">
        <v>457</v>
      </c>
      <c r="V147" s="16" t="s">
        <v>458</v>
      </c>
      <c r="W147" s="115" t="s">
        <v>459</v>
      </c>
      <c r="X147" s="16" t="s">
        <v>429</v>
      </c>
      <c r="Y147" s="16" t="s">
        <v>435</v>
      </c>
    </row>
    <row r="148">
      <c r="A148" s="124" t="s">
        <v>442</v>
      </c>
      <c r="B148" s="125" t="s">
        <v>460</v>
      </c>
      <c r="C148" s="126"/>
      <c r="D148" s="126"/>
      <c r="E148" s="126"/>
      <c r="F148" s="126"/>
      <c r="G148" s="126"/>
      <c r="H148" s="127"/>
      <c r="I148" s="114"/>
      <c r="J148" s="124"/>
      <c r="K148" s="124" t="s">
        <v>316</v>
      </c>
      <c r="L148" s="124" t="s">
        <v>390</v>
      </c>
      <c r="M148" s="124">
        <v>12.0</v>
      </c>
      <c r="N148" s="124">
        <v>12.0</v>
      </c>
      <c r="O148" s="124" t="s">
        <v>449</v>
      </c>
      <c r="P148" s="53"/>
      <c r="W148" s="115" t="s">
        <v>461</v>
      </c>
      <c r="X148" s="16" t="s">
        <v>429</v>
      </c>
    </row>
    <row r="149">
      <c r="A149" s="124" t="s">
        <v>445</v>
      </c>
      <c r="B149" s="125" t="s">
        <v>462</v>
      </c>
      <c r="C149" s="126"/>
      <c r="D149" s="126"/>
      <c r="E149" s="126"/>
      <c r="F149" s="126"/>
      <c r="G149" s="126"/>
      <c r="H149" s="127"/>
      <c r="I149" s="114"/>
      <c r="J149" s="124" t="s">
        <v>312</v>
      </c>
      <c r="K149" s="138">
        <v>3.075</v>
      </c>
      <c r="L149" s="139" t="s">
        <v>392</v>
      </c>
      <c r="M149" s="140">
        <v>6.0</v>
      </c>
      <c r="N149" s="140">
        <v>6.0</v>
      </c>
      <c r="O149" s="141" t="s">
        <v>450</v>
      </c>
      <c r="W149" s="115" t="s">
        <v>463</v>
      </c>
      <c r="X149" s="16" t="s">
        <v>464</v>
      </c>
      <c r="Y149" s="16">
        <v>0.0</v>
      </c>
    </row>
    <row r="150">
      <c r="A150" s="124" t="s">
        <v>447</v>
      </c>
      <c r="B150" s="125" t="s">
        <v>448</v>
      </c>
      <c r="C150" s="126"/>
      <c r="D150" s="126"/>
      <c r="E150" s="126"/>
      <c r="F150" s="126"/>
      <c r="G150" s="126"/>
      <c r="H150" s="127"/>
      <c r="I150" s="114"/>
      <c r="J150" s="124" t="s">
        <v>313</v>
      </c>
      <c r="K150" s="138">
        <v>2.9125</v>
      </c>
      <c r="L150" s="135"/>
      <c r="M150" s="135"/>
      <c r="N150" s="135"/>
      <c r="O150" s="137"/>
      <c r="W150" s="128"/>
    </row>
    <row r="151">
      <c r="A151" s="129" t="s">
        <v>449</v>
      </c>
      <c r="B151" s="130" t="s">
        <v>450</v>
      </c>
      <c r="C151" s="131"/>
      <c r="D151" s="131"/>
      <c r="E151" s="131"/>
      <c r="F151" s="131"/>
      <c r="G151" s="131"/>
      <c r="H151" s="132"/>
      <c r="I151" s="114"/>
      <c r="J151" s="114"/>
      <c r="K151" s="114"/>
      <c r="L151" s="114"/>
      <c r="M151" s="114"/>
      <c r="N151" s="114"/>
      <c r="O151" s="114"/>
    </row>
    <row r="152">
      <c r="A152" s="133"/>
      <c r="H152" s="134"/>
      <c r="I152" s="114"/>
      <c r="J152" s="114"/>
      <c r="K152" s="114"/>
      <c r="L152" s="142">
        <v>3.0</v>
      </c>
      <c r="M152" s="120"/>
      <c r="N152" s="120"/>
      <c r="O152" s="114"/>
      <c r="P152" s="114"/>
    </row>
    <row r="153">
      <c r="A153" s="133"/>
      <c r="H153" s="134"/>
      <c r="I153" s="114"/>
      <c r="J153" s="114"/>
      <c r="K153" s="114"/>
      <c r="L153" s="119" t="s">
        <v>388</v>
      </c>
      <c r="M153" s="113">
        <v>2.0</v>
      </c>
      <c r="N153" s="113">
        <v>2.0</v>
      </c>
      <c r="O153" s="114"/>
      <c r="P153" s="114"/>
    </row>
    <row r="154">
      <c r="A154" s="135"/>
      <c r="B154" s="136"/>
      <c r="C154" s="136"/>
      <c r="D154" s="136"/>
      <c r="E154" s="136"/>
      <c r="F154" s="136"/>
      <c r="G154" s="136"/>
      <c r="H154" s="137"/>
      <c r="I154" s="114"/>
      <c r="J154" s="114"/>
      <c r="K154" s="114"/>
      <c r="L154" s="119" t="s">
        <v>390</v>
      </c>
      <c r="M154" s="113">
        <v>1.0</v>
      </c>
      <c r="N154" s="113">
        <v>1.0</v>
      </c>
      <c r="O154" s="114"/>
      <c r="P154" s="114"/>
    </row>
    <row r="155">
      <c r="L155" s="16" t="s">
        <v>392</v>
      </c>
      <c r="M155" s="67">
        <v>0.5</v>
      </c>
      <c r="N155" s="67">
        <v>0.5</v>
      </c>
    </row>
    <row r="156">
      <c r="L156" s="16" t="s">
        <v>317</v>
      </c>
      <c r="M156" s="67">
        <v>0.5</v>
      </c>
      <c r="N156" s="67">
        <v>0.5</v>
      </c>
    </row>
    <row r="157">
      <c r="D157" s="143" t="s">
        <v>465</v>
      </c>
      <c r="E157" s="126"/>
      <c r="F157" s="126"/>
      <c r="G157" s="126"/>
      <c r="H157" s="126"/>
      <c r="I157" s="127"/>
    </row>
    <row r="158">
      <c r="D158" s="144"/>
      <c r="E158" s="144" t="s">
        <v>316</v>
      </c>
      <c r="F158" s="144" t="s">
        <v>466</v>
      </c>
      <c r="G158" s="144" t="s">
        <v>467</v>
      </c>
      <c r="H158" s="144" t="s">
        <v>468</v>
      </c>
      <c r="I158" s="144" t="s">
        <v>449</v>
      </c>
      <c r="L158" s="104">
        <v>5.0</v>
      </c>
      <c r="M158" s="73"/>
      <c r="N158" s="73"/>
    </row>
    <row r="159">
      <c r="D159" s="144" t="s">
        <v>312</v>
      </c>
      <c r="E159" s="144">
        <v>3.0375</v>
      </c>
      <c r="F159" s="145">
        <v>1.36982828665663</v>
      </c>
      <c r="G159" s="146">
        <v>1.664371349153684</v>
      </c>
      <c r="H159" s="146">
        <v>0.08731070810445787</v>
      </c>
      <c r="I159" s="145" t="s">
        <v>450</v>
      </c>
      <c r="L159" s="16" t="s">
        <v>388</v>
      </c>
      <c r="M159" s="67">
        <v>2.0</v>
      </c>
      <c r="N159" s="67">
        <v>2.0</v>
      </c>
    </row>
    <row r="160">
      <c r="D160" s="144" t="s">
        <v>313</v>
      </c>
      <c r="E160" s="144">
        <v>2.475</v>
      </c>
      <c r="F160" s="135"/>
      <c r="G160" s="135"/>
      <c r="H160" s="135"/>
      <c r="I160" s="135"/>
      <c r="L160" s="16" t="s">
        <v>390</v>
      </c>
      <c r="M160" s="67">
        <v>3.0</v>
      </c>
      <c r="N160" s="67">
        <v>3.0</v>
      </c>
    </row>
    <row r="161">
      <c r="D161" s="147" t="s">
        <v>469</v>
      </c>
      <c r="E161" s="126"/>
      <c r="F161" s="126"/>
      <c r="G161" s="126"/>
      <c r="H161" s="126"/>
      <c r="I161" s="127"/>
      <c r="L161" s="16" t="s">
        <v>392</v>
      </c>
      <c r="M161" s="67">
        <v>1.5</v>
      </c>
      <c r="N161" s="67">
        <v>1.5</v>
      </c>
    </row>
    <row r="162">
      <c r="D162" s="144"/>
      <c r="E162" s="144" t="s">
        <v>316</v>
      </c>
      <c r="F162" s="144" t="s">
        <v>466</v>
      </c>
      <c r="G162" s="144" t="s">
        <v>467</v>
      </c>
      <c r="H162" s="144" t="s">
        <v>468</v>
      </c>
      <c r="I162" s="144" t="s">
        <v>449</v>
      </c>
      <c r="L162" s="16" t="s">
        <v>317</v>
      </c>
      <c r="M162" s="67">
        <v>4.5</v>
      </c>
      <c r="N162" s="67">
        <v>4.5</v>
      </c>
    </row>
    <row r="163">
      <c r="D163" s="144" t="s">
        <v>312</v>
      </c>
      <c r="E163" s="148">
        <v>3.075</v>
      </c>
      <c r="F163" s="146">
        <v>0.3676192182484115</v>
      </c>
      <c r="G163" s="146">
        <v>1.664371349153684</v>
      </c>
      <c r="H163" s="146">
        <v>0.3570701233389257</v>
      </c>
      <c r="I163" s="145" t="s">
        <v>450</v>
      </c>
    </row>
    <row r="164">
      <c r="D164" s="144" t="s">
        <v>313</v>
      </c>
      <c r="E164" s="148">
        <v>2.9125</v>
      </c>
      <c r="F164" s="135"/>
      <c r="G164" s="135"/>
      <c r="H164" s="135"/>
      <c r="I164" s="135"/>
      <c r="L164" s="104">
        <v>2.0</v>
      </c>
      <c r="M164" s="73"/>
      <c r="N164" s="73"/>
    </row>
    <row r="165">
      <c r="L165" s="16" t="s">
        <v>388</v>
      </c>
      <c r="M165" s="67">
        <v>2.0</v>
      </c>
      <c r="N165" s="67">
        <v>2.0</v>
      </c>
    </row>
    <row r="166">
      <c r="L166" s="16" t="s">
        <v>390</v>
      </c>
      <c r="M166" s="67">
        <v>0.0</v>
      </c>
      <c r="N166" s="67">
        <v>0.0</v>
      </c>
    </row>
    <row r="167">
      <c r="L167" s="16" t="s">
        <v>392</v>
      </c>
      <c r="M167" s="67">
        <v>0.0</v>
      </c>
      <c r="N167" s="67">
        <v>0.0</v>
      </c>
    </row>
    <row r="168">
      <c r="L168" s="16" t="s">
        <v>317</v>
      </c>
      <c r="M168" s="67">
        <v>0.0</v>
      </c>
      <c r="N168" s="67">
        <v>0.0</v>
      </c>
    </row>
    <row r="170">
      <c r="L170" s="104">
        <v>0.0</v>
      </c>
      <c r="M170" s="73"/>
      <c r="N170" s="73"/>
    </row>
    <row r="171">
      <c r="L171" s="16" t="s">
        <v>388</v>
      </c>
      <c r="M171" s="67">
        <v>2.0</v>
      </c>
      <c r="N171" s="67">
        <v>2.0</v>
      </c>
    </row>
    <row r="172">
      <c r="L172" s="16" t="s">
        <v>390</v>
      </c>
      <c r="M172" s="16">
        <v>3.0</v>
      </c>
      <c r="N172" s="16">
        <v>3.0</v>
      </c>
      <c r="O172" s="53" t="s">
        <v>313</v>
      </c>
      <c r="P172" s="53"/>
      <c r="Q172" s="53" t="s">
        <v>312</v>
      </c>
      <c r="R172" s="53"/>
      <c r="S172" s="53" t="s">
        <v>313</v>
      </c>
    </row>
    <row r="173">
      <c r="L173" s="16" t="s">
        <v>392</v>
      </c>
      <c r="M173" s="149">
        <v>1.5</v>
      </c>
      <c r="N173" s="67">
        <v>1.5</v>
      </c>
      <c r="O173" s="109">
        <v>0.4</v>
      </c>
      <c r="Q173" s="109">
        <v>0.2875</v>
      </c>
      <c r="S173" s="109">
        <v>0.35</v>
      </c>
    </row>
    <row r="174">
      <c r="A174" s="150" t="s">
        <v>376</v>
      </c>
      <c r="B174" s="151" t="s">
        <v>310</v>
      </c>
      <c r="F174" s="151" t="s">
        <v>311</v>
      </c>
      <c r="L174" s="16" t="s">
        <v>317</v>
      </c>
      <c r="M174" s="149">
        <v>0.5</v>
      </c>
      <c r="N174" s="67">
        <v>0.5</v>
      </c>
      <c r="O174" s="109">
        <v>0.125</v>
      </c>
      <c r="Q174" s="109">
        <v>0.075</v>
      </c>
      <c r="S174" s="109">
        <v>0.1375</v>
      </c>
    </row>
    <row r="175">
      <c r="B175" s="56" t="s">
        <v>312</v>
      </c>
      <c r="D175" s="56" t="s">
        <v>313</v>
      </c>
      <c r="F175" s="56" t="s">
        <v>312</v>
      </c>
      <c r="H175" s="56" t="s">
        <v>313</v>
      </c>
      <c r="L175" s="109"/>
      <c r="M175" s="109">
        <v>0.1</v>
      </c>
      <c r="O175" s="109">
        <v>0.1</v>
      </c>
      <c r="Q175" s="109">
        <v>0.1</v>
      </c>
      <c r="S175" s="109">
        <v>0.125</v>
      </c>
    </row>
    <row r="176">
      <c r="B176" s="152" t="s">
        <v>470</v>
      </c>
      <c r="C176" s="152" t="s">
        <v>471</v>
      </c>
      <c r="D176" s="152" t="s">
        <v>470</v>
      </c>
      <c r="E176" s="152" t="s">
        <v>471</v>
      </c>
      <c r="F176" s="152" t="s">
        <v>470</v>
      </c>
      <c r="G176" s="152" t="s">
        <v>471</v>
      </c>
      <c r="H176" s="152" t="s">
        <v>470</v>
      </c>
      <c r="I176" s="152" t="s">
        <v>471</v>
      </c>
      <c r="L176" s="153">
        <v>2.0</v>
      </c>
      <c r="M176" s="154">
        <v>0.25</v>
      </c>
      <c r="N176" s="73"/>
      <c r="O176" s="109">
        <v>0.0875</v>
      </c>
      <c r="Q176" s="109">
        <v>0.225</v>
      </c>
      <c r="S176" s="109">
        <v>0.1125</v>
      </c>
    </row>
    <row r="177">
      <c r="A177" s="61">
        <v>0.0</v>
      </c>
      <c r="B177" s="95">
        <v>15.0</v>
      </c>
      <c r="C177" s="108">
        <v>0.1875</v>
      </c>
      <c r="D177" s="95">
        <v>32.0</v>
      </c>
      <c r="E177" s="108">
        <v>0.4</v>
      </c>
      <c r="F177" s="95">
        <v>23.0</v>
      </c>
      <c r="G177" s="108">
        <v>0.2875</v>
      </c>
      <c r="H177" s="95">
        <v>28.0</v>
      </c>
      <c r="I177" s="108">
        <v>0.35</v>
      </c>
      <c r="L177" s="16" t="s">
        <v>388</v>
      </c>
      <c r="M177" s="149">
        <v>2.0</v>
      </c>
      <c r="N177" s="67">
        <v>2.0</v>
      </c>
      <c r="O177" s="109">
        <v>0.1</v>
      </c>
      <c r="Q177" s="109">
        <v>0.05</v>
      </c>
      <c r="S177" s="109">
        <v>0.0625</v>
      </c>
    </row>
    <row r="178">
      <c r="A178" s="155">
        <v>1.0</v>
      </c>
      <c r="B178" s="156">
        <v>9.0</v>
      </c>
      <c r="C178" s="157">
        <v>0.1125</v>
      </c>
      <c r="D178" s="156">
        <v>10.0</v>
      </c>
      <c r="E178" s="157">
        <v>0.125</v>
      </c>
      <c r="F178" s="156">
        <v>6.0</v>
      </c>
      <c r="G178" s="157">
        <v>0.075</v>
      </c>
      <c r="H178" s="156">
        <v>11.0</v>
      </c>
      <c r="I178" s="157">
        <v>0.1375</v>
      </c>
      <c r="L178" s="16" t="s">
        <v>390</v>
      </c>
      <c r="M178" s="149">
        <v>5.0</v>
      </c>
      <c r="N178" s="67">
        <v>5.0</v>
      </c>
      <c r="O178" s="109">
        <v>0.05</v>
      </c>
      <c r="Q178" s="109">
        <v>0.0375</v>
      </c>
      <c r="S178" s="109">
        <v>0.025</v>
      </c>
    </row>
    <row r="179">
      <c r="A179" s="61">
        <v>2.0</v>
      </c>
      <c r="B179" s="95">
        <v>8.0</v>
      </c>
      <c r="C179" s="108">
        <v>0.1</v>
      </c>
      <c r="D179" s="95">
        <v>8.0</v>
      </c>
      <c r="E179" s="108">
        <v>0.1</v>
      </c>
      <c r="F179" s="95">
        <v>8.0</v>
      </c>
      <c r="G179" s="108">
        <v>0.1</v>
      </c>
      <c r="H179" s="95">
        <v>10.0</v>
      </c>
      <c r="I179" s="108">
        <v>0.125</v>
      </c>
      <c r="L179" s="16" t="s">
        <v>392</v>
      </c>
      <c r="M179" s="149">
        <v>2.5</v>
      </c>
      <c r="N179" s="67">
        <v>2.5</v>
      </c>
      <c r="O179" s="109">
        <v>0.025</v>
      </c>
      <c r="Q179" s="109">
        <v>0.0875</v>
      </c>
      <c r="S179" s="109">
        <v>0.0375</v>
      </c>
    </row>
    <row r="180">
      <c r="A180" s="155">
        <v>3.0</v>
      </c>
      <c r="B180" s="156">
        <v>20.0</v>
      </c>
      <c r="C180" s="157">
        <v>0.25</v>
      </c>
      <c r="D180" s="156">
        <v>7.0</v>
      </c>
      <c r="E180" s="157">
        <v>0.0875</v>
      </c>
      <c r="F180" s="156">
        <v>18.0</v>
      </c>
      <c r="G180" s="157">
        <v>0.225</v>
      </c>
      <c r="H180" s="156">
        <v>9.0</v>
      </c>
      <c r="I180" s="157">
        <v>0.1125</v>
      </c>
      <c r="L180" s="16" t="s">
        <v>317</v>
      </c>
      <c r="M180" s="149">
        <v>0.5</v>
      </c>
      <c r="N180" s="67">
        <v>0.5</v>
      </c>
      <c r="O180" s="109">
        <v>0.0375</v>
      </c>
      <c r="Q180" s="109">
        <v>0.0375</v>
      </c>
      <c r="S180" s="109">
        <v>0.0125</v>
      </c>
    </row>
    <row r="181">
      <c r="A181" s="61">
        <v>4.0</v>
      </c>
      <c r="B181" s="95">
        <v>12.0</v>
      </c>
      <c r="C181" s="108">
        <v>0.15</v>
      </c>
      <c r="D181" s="95">
        <v>8.0</v>
      </c>
      <c r="E181" s="108">
        <v>0.1</v>
      </c>
      <c r="F181" s="95">
        <v>4.0</v>
      </c>
      <c r="G181" s="108">
        <v>0.05</v>
      </c>
      <c r="H181" s="95">
        <v>5.0</v>
      </c>
      <c r="I181" s="108">
        <v>0.0625</v>
      </c>
      <c r="L181" s="109"/>
      <c r="M181" s="109">
        <v>0.0375</v>
      </c>
      <c r="O181" s="109">
        <v>0.0</v>
      </c>
      <c r="Q181" s="109">
        <v>0.0375</v>
      </c>
      <c r="S181" s="109">
        <v>0.0</v>
      </c>
    </row>
    <row r="182">
      <c r="A182" s="155">
        <v>5.0</v>
      </c>
      <c r="B182" s="156">
        <v>4.0</v>
      </c>
      <c r="C182" s="157">
        <v>0.05</v>
      </c>
      <c r="D182" s="156">
        <v>4.0</v>
      </c>
      <c r="E182" s="157">
        <v>0.05</v>
      </c>
      <c r="F182" s="156">
        <v>3.0</v>
      </c>
      <c r="G182" s="157">
        <v>0.0375</v>
      </c>
      <c r="H182" s="156">
        <v>2.0</v>
      </c>
      <c r="I182" s="157">
        <v>0.025</v>
      </c>
      <c r="L182" s="153">
        <v>0.0</v>
      </c>
      <c r="M182" s="154">
        <v>0.0</v>
      </c>
      <c r="N182" s="73"/>
      <c r="O182" s="109">
        <v>0.0125</v>
      </c>
      <c r="Q182" s="109">
        <v>0.0125</v>
      </c>
      <c r="S182" s="109">
        <v>0.05</v>
      </c>
    </row>
    <row r="183">
      <c r="A183" s="61">
        <v>6.0</v>
      </c>
      <c r="B183" s="95">
        <v>5.0</v>
      </c>
      <c r="C183" s="108">
        <v>0.0625</v>
      </c>
      <c r="D183" s="95">
        <v>2.0</v>
      </c>
      <c r="E183" s="108">
        <v>0.025</v>
      </c>
      <c r="F183" s="95">
        <v>7.0</v>
      </c>
      <c r="G183" s="108">
        <v>0.0875</v>
      </c>
      <c r="H183" s="95">
        <v>3.0</v>
      </c>
      <c r="I183" s="108">
        <v>0.0375</v>
      </c>
      <c r="L183" s="16" t="s">
        <v>388</v>
      </c>
      <c r="M183" s="149">
        <v>2.0</v>
      </c>
      <c r="N183" s="67">
        <v>2.0</v>
      </c>
      <c r="O183" s="109">
        <v>0.0125</v>
      </c>
      <c r="Q183" s="109">
        <v>0.025</v>
      </c>
      <c r="S183" s="109">
        <v>0.0</v>
      </c>
    </row>
    <row r="184">
      <c r="A184" s="155">
        <v>7.0</v>
      </c>
      <c r="B184" s="156">
        <v>2.0</v>
      </c>
      <c r="C184" s="157">
        <v>0.025</v>
      </c>
      <c r="D184" s="156">
        <v>3.0</v>
      </c>
      <c r="E184" s="157">
        <v>0.0375</v>
      </c>
      <c r="F184" s="156">
        <v>3.0</v>
      </c>
      <c r="G184" s="157">
        <v>0.0375</v>
      </c>
      <c r="H184" s="156">
        <v>1.0</v>
      </c>
      <c r="I184" s="157">
        <v>0.0125</v>
      </c>
      <c r="L184" s="16" t="s">
        <v>390</v>
      </c>
      <c r="M184" s="149">
        <v>12.0</v>
      </c>
      <c r="N184" s="67">
        <v>12.0</v>
      </c>
      <c r="O184" s="109">
        <v>0.0125</v>
      </c>
      <c r="Q184" s="109">
        <v>0.0125</v>
      </c>
      <c r="S184" s="109">
        <v>0.0</v>
      </c>
    </row>
    <row r="185">
      <c r="A185" s="61">
        <v>8.0</v>
      </c>
      <c r="B185" s="95">
        <v>3.0</v>
      </c>
      <c r="C185" s="108">
        <v>0.0375</v>
      </c>
      <c r="D185" s="95">
        <v>0.0</v>
      </c>
      <c r="E185" s="108">
        <v>0.0</v>
      </c>
      <c r="F185" s="95">
        <v>3.0</v>
      </c>
      <c r="G185" s="108">
        <v>0.0375</v>
      </c>
      <c r="H185" s="95">
        <v>0.0</v>
      </c>
      <c r="I185" s="108">
        <v>0.0</v>
      </c>
      <c r="L185" s="16" t="s">
        <v>392</v>
      </c>
      <c r="M185" s="149">
        <v>6.0</v>
      </c>
      <c r="N185" s="67">
        <v>6.0</v>
      </c>
      <c r="O185" s="109">
        <v>0.0375</v>
      </c>
      <c r="Q185" s="109">
        <v>0.0125</v>
      </c>
      <c r="S185" s="109">
        <v>0.0875</v>
      </c>
    </row>
    <row r="186">
      <c r="A186" s="155">
        <v>9.0</v>
      </c>
      <c r="B186" s="156">
        <v>0.0</v>
      </c>
      <c r="C186" s="157">
        <v>0.0</v>
      </c>
      <c r="D186" s="156">
        <v>1.0</v>
      </c>
      <c r="E186" s="157">
        <v>0.0125</v>
      </c>
      <c r="F186" s="156">
        <v>1.0</v>
      </c>
      <c r="G186" s="157">
        <v>0.0125</v>
      </c>
      <c r="H186" s="156">
        <v>4.0</v>
      </c>
      <c r="I186" s="157">
        <v>0.05</v>
      </c>
      <c r="L186" s="16" t="s">
        <v>317</v>
      </c>
      <c r="M186" s="67">
        <v>72.0</v>
      </c>
      <c r="N186" s="67">
        <v>72.0</v>
      </c>
    </row>
    <row r="187">
      <c r="A187" s="61">
        <v>10.0</v>
      </c>
      <c r="B187" s="95">
        <v>1.0</v>
      </c>
      <c r="C187" s="108">
        <v>0.0125</v>
      </c>
      <c r="D187" s="95">
        <v>1.0</v>
      </c>
      <c r="E187" s="108">
        <v>0.0125</v>
      </c>
      <c r="F187" s="95">
        <v>2.0</v>
      </c>
      <c r="G187" s="108">
        <v>0.025</v>
      </c>
      <c r="H187" s="95">
        <v>0.0</v>
      </c>
      <c r="I187" s="108">
        <v>0.0</v>
      </c>
      <c r="L187" s="109"/>
      <c r="M187" s="109">
        <v>1.0</v>
      </c>
      <c r="O187" s="109">
        <v>0.9999999999999999</v>
      </c>
      <c r="Q187" s="109">
        <v>0.9999999999999999</v>
      </c>
      <c r="S187" s="109">
        <v>1.0</v>
      </c>
    </row>
    <row r="188">
      <c r="A188" s="155">
        <v>11.0</v>
      </c>
      <c r="B188" s="156">
        <v>0.0</v>
      </c>
      <c r="C188" s="157">
        <v>0.0</v>
      </c>
      <c r="D188" s="156">
        <v>1.0</v>
      </c>
      <c r="E188" s="157">
        <v>0.0125</v>
      </c>
      <c r="F188" s="156">
        <v>1.0</v>
      </c>
      <c r="G188" s="157">
        <v>0.0125</v>
      </c>
      <c r="H188" s="156">
        <v>0.0</v>
      </c>
      <c r="I188" s="157">
        <v>0.0</v>
      </c>
      <c r="L188" s="104">
        <v>6.0</v>
      </c>
      <c r="M188" s="73"/>
      <c r="N188" s="73"/>
    </row>
    <row r="189">
      <c r="A189" s="61">
        <v>12.0</v>
      </c>
      <c r="B189" s="95">
        <v>1.0</v>
      </c>
      <c r="C189" s="108">
        <v>0.0125</v>
      </c>
      <c r="D189" s="95">
        <v>3.0</v>
      </c>
      <c r="E189" s="108">
        <v>0.0375</v>
      </c>
      <c r="F189" s="95">
        <v>1.0</v>
      </c>
      <c r="G189" s="108">
        <v>0.0125</v>
      </c>
      <c r="H189" s="95">
        <v>7.0</v>
      </c>
      <c r="I189" s="108">
        <v>0.0875</v>
      </c>
      <c r="L189" s="16" t="s">
        <v>388</v>
      </c>
      <c r="M189" s="67">
        <v>2.0</v>
      </c>
      <c r="N189" s="67">
        <v>2.0</v>
      </c>
    </row>
    <row r="190">
      <c r="A190" s="156"/>
      <c r="B190" s="156">
        <v>0.0</v>
      </c>
      <c r="D190" s="156">
        <v>0.0</v>
      </c>
      <c r="F190" s="156">
        <v>0.0</v>
      </c>
      <c r="H190" s="156">
        <v>0.0</v>
      </c>
      <c r="L190" s="16" t="s">
        <v>390</v>
      </c>
      <c r="M190" s="67">
        <v>3.0</v>
      </c>
      <c r="N190" s="67">
        <v>3.0</v>
      </c>
    </row>
    <row r="191">
      <c r="A191" s="61" t="s">
        <v>396</v>
      </c>
      <c r="B191" s="95">
        <v>80.0</v>
      </c>
      <c r="C191" s="108">
        <v>1.0</v>
      </c>
      <c r="D191" s="95">
        <v>80.0</v>
      </c>
      <c r="E191" s="108">
        <v>0.9999999999999999</v>
      </c>
      <c r="F191" s="95">
        <v>80.0</v>
      </c>
      <c r="G191" s="108">
        <v>0.9999999999999999</v>
      </c>
      <c r="H191" s="95">
        <v>80.0</v>
      </c>
      <c r="I191" s="108">
        <v>1.0</v>
      </c>
      <c r="L191" s="16" t="s">
        <v>392</v>
      </c>
      <c r="M191" s="67">
        <v>1.5</v>
      </c>
      <c r="N191" s="67">
        <v>1.5</v>
      </c>
    </row>
    <row r="192">
      <c r="L192" s="16" t="s">
        <v>317</v>
      </c>
      <c r="M192" s="67">
        <v>0.5</v>
      </c>
      <c r="N192" s="67">
        <v>0.5</v>
      </c>
    </row>
    <row r="194">
      <c r="L194" s="104">
        <v>3.0</v>
      </c>
      <c r="M194" s="73"/>
      <c r="N194" s="73"/>
    </row>
    <row r="195">
      <c r="L195" s="16" t="s">
        <v>388</v>
      </c>
      <c r="M195" s="67">
        <v>2.0</v>
      </c>
      <c r="N195" s="67">
        <v>2.0</v>
      </c>
    </row>
    <row r="196">
      <c r="L196" s="16" t="s">
        <v>390</v>
      </c>
      <c r="M196" s="67">
        <v>2.0</v>
      </c>
      <c r="N196" s="67">
        <v>2.0</v>
      </c>
    </row>
    <row r="197">
      <c r="L197" s="16" t="s">
        <v>392</v>
      </c>
      <c r="M197" s="67">
        <v>1.0</v>
      </c>
      <c r="N197" s="67">
        <v>1.0</v>
      </c>
    </row>
    <row r="198">
      <c r="L198" s="16" t="s">
        <v>317</v>
      </c>
      <c r="M198" s="67">
        <v>2.0</v>
      </c>
      <c r="N198" s="67">
        <v>2.0</v>
      </c>
    </row>
    <row r="200">
      <c r="L200" s="104">
        <v>3.0</v>
      </c>
      <c r="M200" s="73"/>
      <c r="N200" s="73"/>
    </row>
    <row r="201">
      <c r="L201" s="16" t="s">
        <v>388</v>
      </c>
      <c r="M201" s="67">
        <v>2.0</v>
      </c>
      <c r="N201" s="67">
        <v>2.0</v>
      </c>
    </row>
    <row r="202">
      <c r="L202" s="16" t="s">
        <v>390</v>
      </c>
      <c r="M202" s="67">
        <v>8.0</v>
      </c>
      <c r="N202" s="67">
        <v>8.0</v>
      </c>
    </row>
    <row r="203">
      <c r="L203" s="16" t="s">
        <v>392</v>
      </c>
      <c r="M203" s="67">
        <v>4.0</v>
      </c>
      <c r="N203" s="67">
        <v>4.0</v>
      </c>
    </row>
    <row r="204">
      <c r="L204" s="16" t="s">
        <v>317</v>
      </c>
      <c r="M204" s="67">
        <v>2.0</v>
      </c>
      <c r="N204" s="67">
        <v>2.0</v>
      </c>
    </row>
    <row r="206">
      <c r="L206" s="104">
        <v>1.0</v>
      </c>
      <c r="M206" s="73"/>
      <c r="N206" s="73"/>
    </row>
    <row r="207">
      <c r="L207" s="16" t="s">
        <v>388</v>
      </c>
      <c r="M207" s="67">
        <v>2.0</v>
      </c>
      <c r="N207" s="67">
        <v>2.0</v>
      </c>
    </row>
    <row r="208">
      <c r="L208" s="16" t="s">
        <v>390</v>
      </c>
      <c r="M208" s="67">
        <v>15.0</v>
      </c>
      <c r="N208" s="67">
        <v>15.0</v>
      </c>
    </row>
    <row r="209">
      <c r="L209" s="16" t="s">
        <v>392</v>
      </c>
      <c r="M209" s="67">
        <v>7.5</v>
      </c>
      <c r="N209" s="67">
        <v>7.5</v>
      </c>
    </row>
    <row r="210">
      <c r="L210" s="16" t="s">
        <v>317</v>
      </c>
      <c r="M210" s="67">
        <v>40.5</v>
      </c>
      <c r="N210" s="67">
        <v>40.5</v>
      </c>
    </row>
    <row r="212">
      <c r="L212" s="104">
        <v>3.0</v>
      </c>
      <c r="M212" s="73"/>
      <c r="N212" s="73"/>
    </row>
    <row r="213">
      <c r="L213" s="16" t="s">
        <v>388</v>
      </c>
      <c r="M213" s="67">
        <v>2.0</v>
      </c>
      <c r="N213" s="67">
        <v>2.0</v>
      </c>
    </row>
    <row r="214">
      <c r="L214" s="16" t="s">
        <v>390</v>
      </c>
      <c r="M214" s="67">
        <v>10.0</v>
      </c>
      <c r="N214" s="67">
        <v>10.0</v>
      </c>
    </row>
    <row r="215">
      <c r="L215" s="16" t="s">
        <v>392</v>
      </c>
      <c r="M215" s="67">
        <v>5.0</v>
      </c>
      <c r="N215" s="67">
        <v>5.0</v>
      </c>
    </row>
    <row r="216">
      <c r="L216" s="16" t="s">
        <v>317</v>
      </c>
      <c r="M216" s="67">
        <v>32.0</v>
      </c>
      <c r="N216" s="67">
        <v>32.0</v>
      </c>
    </row>
    <row r="218">
      <c r="L218" s="104">
        <v>4.0</v>
      </c>
      <c r="M218" s="73"/>
      <c r="N218" s="73"/>
    </row>
    <row r="219">
      <c r="L219" s="16" t="s">
        <v>388</v>
      </c>
      <c r="M219" s="67">
        <v>2.0</v>
      </c>
      <c r="N219" s="67">
        <v>2.0</v>
      </c>
    </row>
    <row r="220">
      <c r="L220" s="16" t="s">
        <v>390</v>
      </c>
      <c r="M220" s="67">
        <v>4.0</v>
      </c>
      <c r="N220" s="67">
        <v>4.0</v>
      </c>
    </row>
    <row r="221">
      <c r="L221" s="16" t="s">
        <v>392</v>
      </c>
      <c r="M221" s="67">
        <v>2.0</v>
      </c>
      <c r="N221" s="67">
        <v>2.0</v>
      </c>
    </row>
    <row r="222">
      <c r="L222" s="16" t="s">
        <v>317</v>
      </c>
      <c r="M222" s="67">
        <v>8.0</v>
      </c>
      <c r="N222" s="67">
        <v>8.0</v>
      </c>
    </row>
    <row r="224">
      <c r="L224" s="104">
        <v>3.0</v>
      </c>
      <c r="M224" s="73"/>
      <c r="N224" s="73"/>
    </row>
    <row r="225">
      <c r="L225" s="16" t="s">
        <v>388</v>
      </c>
      <c r="M225" s="67">
        <v>2.0</v>
      </c>
      <c r="N225" s="67">
        <v>2.0</v>
      </c>
    </row>
    <row r="226">
      <c r="L226" s="16" t="s">
        <v>390</v>
      </c>
      <c r="M226" s="67">
        <v>11.0</v>
      </c>
      <c r="N226" s="67">
        <v>11.0</v>
      </c>
    </row>
    <row r="227">
      <c r="L227" s="16" t="s">
        <v>392</v>
      </c>
      <c r="M227" s="67">
        <v>5.5</v>
      </c>
      <c r="N227" s="67">
        <v>5.5</v>
      </c>
    </row>
    <row r="228">
      <c r="L228" s="16" t="s">
        <v>317</v>
      </c>
      <c r="M228" s="67">
        <v>24.5</v>
      </c>
      <c r="N228" s="67">
        <v>24.5</v>
      </c>
    </row>
    <row r="230">
      <c r="L230" s="104">
        <v>5.0</v>
      </c>
      <c r="M230" s="73"/>
      <c r="N230" s="73"/>
    </row>
    <row r="231">
      <c r="L231" s="16" t="s">
        <v>388</v>
      </c>
      <c r="M231" s="67">
        <v>2.0</v>
      </c>
      <c r="N231" s="67">
        <v>2.0</v>
      </c>
    </row>
    <row r="232">
      <c r="L232" s="16" t="s">
        <v>390</v>
      </c>
      <c r="M232" s="67">
        <v>5.0</v>
      </c>
      <c r="N232" s="67">
        <v>5.0</v>
      </c>
    </row>
    <row r="233">
      <c r="L233" s="16" t="s">
        <v>392</v>
      </c>
      <c r="M233" s="67">
        <v>2.5</v>
      </c>
      <c r="N233" s="67">
        <v>2.5</v>
      </c>
    </row>
    <row r="234">
      <c r="L234" s="16" t="s">
        <v>317</v>
      </c>
      <c r="M234" s="67">
        <v>12.5</v>
      </c>
      <c r="N234" s="67">
        <v>12.5</v>
      </c>
    </row>
    <row r="236">
      <c r="L236" s="104">
        <v>2.0</v>
      </c>
      <c r="M236" s="73"/>
      <c r="N236" s="73"/>
    </row>
    <row r="237">
      <c r="L237" s="16" t="s">
        <v>388</v>
      </c>
      <c r="M237" s="67">
        <v>2.0</v>
      </c>
      <c r="N237" s="67">
        <v>2.0</v>
      </c>
    </row>
    <row r="238">
      <c r="L238" s="16" t="s">
        <v>390</v>
      </c>
      <c r="M238" s="67">
        <v>4.0</v>
      </c>
      <c r="N238" s="67">
        <v>4.0</v>
      </c>
    </row>
    <row r="239">
      <c r="L239" s="16" t="s">
        <v>392</v>
      </c>
      <c r="M239" s="67">
        <v>2.0</v>
      </c>
      <c r="N239" s="67">
        <v>2.0</v>
      </c>
    </row>
    <row r="240">
      <c r="L240" s="16" t="s">
        <v>317</v>
      </c>
      <c r="M240" s="67">
        <v>0.0</v>
      </c>
      <c r="N240" s="67">
        <v>0.0</v>
      </c>
    </row>
    <row r="242">
      <c r="L242" s="104">
        <v>6.0</v>
      </c>
      <c r="M242" s="73"/>
      <c r="N242" s="73"/>
    </row>
    <row r="243">
      <c r="L243" s="16" t="s">
        <v>388</v>
      </c>
      <c r="M243" s="67">
        <v>2.0</v>
      </c>
      <c r="N243" s="67">
        <v>2.0</v>
      </c>
    </row>
    <row r="244">
      <c r="L244" s="16" t="s">
        <v>390</v>
      </c>
      <c r="M244" s="67">
        <v>1.0</v>
      </c>
      <c r="N244" s="67">
        <v>1.0</v>
      </c>
    </row>
    <row r="245">
      <c r="L245" s="16" t="s">
        <v>392</v>
      </c>
      <c r="M245" s="67">
        <v>0.5</v>
      </c>
      <c r="N245" s="67">
        <v>0.5</v>
      </c>
    </row>
    <row r="246">
      <c r="L246" s="16" t="s">
        <v>317</v>
      </c>
      <c r="M246" s="67">
        <v>0.5</v>
      </c>
      <c r="N246" s="67">
        <v>0.5</v>
      </c>
    </row>
    <row r="248">
      <c r="L248" s="104">
        <v>1.0</v>
      </c>
      <c r="M248" s="73"/>
      <c r="N248" s="73"/>
    </row>
    <row r="249">
      <c r="L249" s="16" t="s">
        <v>388</v>
      </c>
      <c r="M249" s="67">
        <v>2.0</v>
      </c>
      <c r="N249" s="67">
        <v>2.0</v>
      </c>
    </row>
    <row r="250">
      <c r="L250" s="16" t="s">
        <v>390</v>
      </c>
      <c r="M250" s="67">
        <v>12.0</v>
      </c>
      <c r="N250" s="67">
        <v>12.0</v>
      </c>
    </row>
    <row r="251">
      <c r="L251" s="16" t="s">
        <v>392</v>
      </c>
      <c r="M251" s="67">
        <v>6.0</v>
      </c>
      <c r="N251" s="67">
        <v>6.0</v>
      </c>
    </row>
    <row r="252">
      <c r="L252" s="16" t="s">
        <v>317</v>
      </c>
      <c r="M252" s="67">
        <v>72.0</v>
      </c>
      <c r="N252" s="67">
        <v>72.0</v>
      </c>
    </row>
    <row r="254">
      <c r="L254" s="104">
        <v>9.0</v>
      </c>
      <c r="M254" s="73"/>
      <c r="N254" s="73"/>
    </row>
    <row r="255">
      <c r="L255" s="16" t="s">
        <v>388</v>
      </c>
      <c r="M255" s="67">
        <v>2.0</v>
      </c>
      <c r="N255" s="67">
        <v>2.0</v>
      </c>
    </row>
    <row r="256">
      <c r="L256" s="16" t="s">
        <v>390</v>
      </c>
      <c r="M256" s="67">
        <v>9.0</v>
      </c>
      <c r="N256" s="67">
        <v>9.0</v>
      </c>
    </row>
    <row r="257">
      <c r="L257" s="16" t="s">
        <v>392</v>
      </c>
      <c r="M257" s="67">
        <v>4.5</v>
      </c>
      <c r="N257" s="67">
        <v>4.5</v>
      </c>
    </row>
    <row r="258">
      <c r="L258" s="16" t="s">
        <v>317</v>
      </c>
      <c r="M258" s="67">
        <v>4.5</v>
      </c>
      <c r="N258" s="67">
        <v>4.5</v>
      </c>
    </row>
    <row r="260">
      <c r="L260" s="104">
        <v>6.0</v>
      </c>
      <c r="M260" s="73"/>
      <c r="N260" s="73"/>
    </row>
    <row r="261">
      <c r="L261" s="16" t="s">
        <v>388</v>
      </c>
      <c r="M261" s="67">
        <v>2.0</v>
      </c>
      <c r="N261" s="67">
        <v>2.0</v>
      </c>
    </row>
    <row r="262">
      <c r="L262" s="16" t="s">
        <v>390</v>
      </c>
      <c r="M262" s="67">
        <v>4.0</v>
      </c>
      <c r="N262" s="67">
        <v>4.0</v>
      </c>
    </row>
    <row r="263">
      <c r="L263" s="16" t="s">
        <v>392</v>
      </c>
      <c r="M263" s="67">
        <v>2.0</v>
      </c>
      <c r="N263" s="67">
        <v>2.0</v>
      </c>
    </row>
    <row r="264">
      <c r="L264" s="16" t="s">
        <v>317</v>
      </c>
      <c r="M264" s="67">
        <v>8.0</v>
      </c>
      <c r="N264" s="67">
        <v>8.0</v>
      </c>
    </row>
    <row r="266">
      <c r="L266" s="104">
        <v>0.0</v>
      </c>
      <c r="M266" s="73"/>
      <c r="N266" s="73"/>
    </row>
    <row r="267">
      <c r="L267" s="16" t="s">
        <v>388</v>
      </c>
      <c r="M267" s="67">
        <v>2.0</v>
      </c>
      <c r="N267" s="67">
        <v>2.0</v>
      </c>
    </row>
    <row r="268">
      <c r="L268" s="16" t="s">
        <v>390</v>
      </c>
      <c r="M268" s="67">
        <v>1.0</v>
      </c>
      <c r="N268" s="67">
        <v>1.0</v>
      </c>
    </row>
    <row r="269">
      <c r="L269" s="16" t="s">
        <v>392</v>
      </c>
      <c r="M269" s="67">
        <v>0.5</v>
      </c>
      <c r="N269" s="67">
        <v>0.5</v>
      </c>
    </row>
    <row r="270">
      <c r="L270" s="16" t="s">
        <v>317</v>
      </c>
      <c r="M270" s="67">
        <v>0.5</v>
      </c>
      <c r="N270" s="67">
        <v>0.5</v>
      </c>
    </row>
    <row r="272">
      <c r="L272" s="104">
        <v>0.0</v>
      </c>
      <c r="M272" s="73"/>
      <c r="N272" s="73"/>
    </row>
    <row r="273">
      <c r="L273" s="16" t="s">
        <v>388</v>
      </c>
      <c r="M273" s="67">
        <v>2.0</v>
      </c>
      <c r="N273" s="67">
        <v>2.0</v>
      </c>
    </row>
    <row r="274">
      <c r="L274" s="16" t="s">
        <v>390</v>
      </c>
      <c r="M274" s="67">
        <v>0.0</v>
      </c>
      <c r="N274" s="67">
        <v>0.0</v>
      </c>
    </row>
    <row r="275">
      <c r="L275" s="16" t="s">
        <v>392</v>
      </c>
      <c r="M275" s="67">
        <v>0.0</v>
      </c>
      <c r="N275" s="67">
        <v>0.0</v>
      </c>
    </row>
    <row r="276">
      <c r="L276" s="16" t="s">
        <v>317</v>
      </c>
      <c r="M276" s="67">
        <v>0.0</v>
      </c>
      <c r="N276" s="67">
        <v>0.0</v>
      </c>
    </row>
    <row r="278">
      <c r="L278" s="104">
        <v>0.0</v>
      </c>
      <c r="M278" s="73"/>
      <c r="N278" s="73"/>
    </row>
    <row r="279">
      <c r="L279" s="16" t="s">
        <v>388</v>
      </c>
      <c r="M279" s="67">
        <v>2.0</v>
      </c>
      <c r="N279" s="67">
        <v>2.0</v>
      </c>
    </row>
    <row r="280">
      <c r="L280" s="16" t="s">
        <v>390</v>
      </c>
      <c r="M280" s="67">
        <v>0.0</v>
      </c>
      <c r="N280" s="67">
        <v>0.0</v>
      </c>
    </row>
    <row r="281">
      <c r="L281" s="16" t="s">
        <v>392</v>
      </c>
      <c r="M281" s="67">
        <v>0.0</v>
      </c>
      <c r="N281" s="67">
        <v>0.0</v>
      </c>
    </row>
    <row r="282">
      <c r="L282" s="16" t="s">
        <v>317</v>
      </c>
      <c r="M282" s="67">
        <v>0.0</v>
      </c>
      <c r="N282" s="67">
        <v>0.0</v>
      </c>
    </row>
    <row r="284">
      <c r="L284" s="104">
        <v>0.0</v>
      </c>
      <c r="M284" s="73"/>
      <c r="N284" s="73"/>
    </row>
    <row r="285">
      <c r="L285" s="16" t="s">
        <v>388</v>
      </c>
      <c r="M285" s="67">
        <v>2.0</v>
      </c>
      <c r="N285" s="67">
        <v>2.0</v>
      </c>
    </row>
    <row r="286">
      <c r="L286" s="16" t="s">
        <v>390</v>
      </c>
      <c r="M286" s="67">
        <v>1.0</v>
      </c>
      <c r="N286" s="67">
        <v>1.0</v>
      </c>
    </row>
    <row r="287">
      <c r="L287" s="16" t="s">
        <v>392</v>
      </c>
      <c r="M287" s="67">
        <v>0.5</v>
      </c>
      <c r="N287" s="67">
        <v>0.5</v>
      </c>
    </row>
    <row r="288">
      <c r="L288" s="16" t="s">
        <v>317</v>
      </c>
      <c r="M288" s="67">
        <v>0.5</v>
      </c>
      <c r="N288" s="67">
        <v>0.5</v>
      </c>
    </row>
    <row r="290">
      <c r="L290" s="104">
        <v>0.0</v>
      </c>
      <c r="M290" s="73"/>
      <c r="N290" s="73"/>
    </row>
    <row r="291">
      <c r="L291" s="16" t="s">
        <v>388</v>
      </c>
      <c r="M291" s="67">
        <v>2.0</v>
      </c>
      <c r="N291" s="67">
        <v>2.0</v>
      </c>
    </row>
    <row r="292">
      <c r="L292" s="16" t="s">
        <v>390</v>
      </c>
      <c r="M292" s="67">
        <v>12.0</v>
      </c>
      <c r="N292" s="67">
        <v>12.0</v>
      </c>
    </row>
    <row r="293">
      <c r="L293" s="16" t="s">
        <v>392</v>
      </c>
      <c r="M293" s="67">
        <v>6.0</v>
      </c>
      <c r="N293" s="67">
        <v>6.0</v>
      </c>
    </row>
    <row r="294">
      <c r="L294" s="16" t="s">
        <v>317</v>
      </c>
      <c r="M294" s="67">
        <v>72.0</v>
      </c>
      <c r="N294" s="67">
        <v>72.0</v>
      </c>
    </row>
    <row r="296">
      <c r="L296" s="104">
        <v>6.0</v>
      </c>
      <c r="M296" s="73"/>
      <c r="N296" s="73"/>
    </row>
    <row r="297">
      <c r="L297" s="16" t="s">
        <v>388</v>
      </c>
      <c r="M297" s="67">
        <v>2.0</v>
      </c>
      <c r="N297" s="67">
        <v>2.0</v>
      </c>
    </row>
    <row r="298">
      <c r="L298" s="16" t="s">
        <v>390</v>
      </c>
      <c r="M298" s="67">
        <v>18.0</v>
      </c>
      <c r="N298" s="67">
        <v>18.0</v>
      </c>
    </row>
    <row r="299">
      <c r="L299" s="16" t="s">
        <v>392</v>
      </c>
      <c r="M299" s="67">
        <v>9.0</v>
      </c>
      <c r="N299" s="67">
        <v>9.0</v>
      </c>
    </row>
    <row r="300">
      <c r="L300" s="16" t="s">
        <v>317</v>
      </c>
      <c r="M300" s="67">
        <v>18.0</v>
      </c>
      <c r="N300" s="67">
        <v>18.0</v>
      </c>
    </row>
    <row r="302">
      <c r="L302" s="104">
        <v>8.0</v>
      </c>
      <c r="M302" s="73"/>
      <c r="N302" s="73"/>
    </row>
    <row r="303">
      <c r="L303" s="16" t="s">
        <v>388</v>
      </c>
      <c r="M303" s="67">
        <v>2.0</v>
      </c>
      <c r="N303" s="67">
        <v>2.0</v>
      </c>
    </row>
    <row r="304">
      <c r="L304" s="16" t="s">
        <v>390</v>
      </c>
      <c r="M304" s="67">
        <v>9.0</v>
      </c>
      <c r="N304" s="67">
        <v>9.0</v>
      </c>
    </row>
    <row r="305">
      <c r="L305" s="16" t="s">
        <v>392</v>
      </c>
      <c r="M305" s="67">
        <v>4.5</v>
      </c>
      <c r="N305" s="67">
        <v>4.5</v>
      </c>
    </row>
    <row r="306">
      <c r="L306" s="16" t="s">
        <v>317</v>
      </c>
      <c r="M306" s="67">
        <v>40.5</v>
      </c>
      <c r="N306" s="67">
        <v>40.5</v>
      </c>
    </row>
    <row r="308">
      <c r="L308" s="104">
        <v>3.0</v>
      </c>
      <c r="M308" s="73"/>
      <c r="N308" s="73"/>
    </row>
    <row r="309">
      <c r="L309" s="16" t="s">
        <v>388</v>
      </c>
      <c r="M309" s="67">
        <v>2.0</v>
      </c>
      <c r="N309" s="67">
        <v>2.0</v>
      </c>
    </row>
    <row r="310">
      <c r="L310" s="16" t="s">
        <v>390</v>
      </c>
      <c r="M310" s="67">
        <v>19.0</v>
      </c>
      <c r="N310" s="67">
        <v>19.0</v>
      </c>
    </row>
    <row r="311">
      <c r="L311" s="16" t="s">
        <v>392</v>
      </c>
      <c r="M311" s="67">
        <v>9.5</v>
      </c>
      <c r="N311" s="67">
        <v>9.5</v>
      </c>
    </row>
    <row r="312">
      <c r="L312" s="16" t="s">
        <v>317</v>
      </c>
      <c r="M312" s="67">
        <v>12.5</v>
      </c>
      <c r="N312" s="67">
        <v>12.5</v>
      </c>
    </row>
    <row r="314">
      <c r="L314" s="104">
        <v>0.0</v>
      </c>
      <c r="M314" s="73"/>
      <c r="N314" s="73"/>
    </row>
    <row r="315">
      <c r="L315" s="16" t="s">
        <v>388</v>
      </c>
      <c r="M315" s="67">
        <v>2.0</v>
      </c>
      <c r="N315" s="67">
        <v>2.0</v>
      </c>
    </row>
    <row r="316">
      <c r="L316" s="16" t="s">
        <v>390</v>
      </c>
      <c r="M316" s="67">
        <v>12.0</v>
      </c>
      <c r="N316" s="67">
        <v>12.0</v>
      </c>
    </row>
    <row r="317">
      <c r="L317" s="16" t="s">
        <v>392</v>
      </c>
      <c r="M317" s="67">
        <v>6.0</v>
      </c>
      <c r="N317" s="67">
        <v>6.0</v>
      </c>
    </row>
    <row r="318">
      <c r="L318" s="16" t="s">
        <v>317</v>
      </c>
      <c r="M318" s="67">
        <v>72.0</v>
      </c>
      <c r="N318" s="67">
        <v>72.0</v>
      </c>
    </row>
    <row r="320">
      <c r="L320" s="104">
        <v>0.0</v>
      </c>
      <c r="M320" s="73"/>
      <c r="N320" s="73"/>
    </row>
    <row r="321">
      <c r="L321" s="16" t="s">
        <v>388</v>
      </c>
      <c r="M321" s="67">
        <v>2.0</v>
      </c>
      <c r="N321" s="67">
        <v>2.0</v>
      </c>
    </row>
    <row r="322">
      <c r="L322" s="16" t="s">
        <v>390</v>
      </c>
      <c r="M322" s="67">
        <v>4.0</v>
      </c>
      <c r="N322" s="67">
        <v>4.0</v>
      </c>
    </row>
    <row r="323">
      <c r="L323" s="16" t="s">
        <v>392</v>
      </c>
      <c r="M323" s="67">
        <v>2.0</v>
      </c>
      <c r="N323" s="67">
        <v>2.0</v>
      </c>
    </row>
    <row r="324">
      <c r="L324" s="16" t="s">
        <v>317</v>
      </c>
      <c r="M324" s="67">
        <v>8.0</v>
      </c>
      <c r="N324" s="67">
        <v>8.0</v>
      </c>
    </row>
    <row r="326">
      <c r="L326" s="158" t="s">
        <v>301</v>
      </c>
      <c r="M326" s="73"/>
      <c r="N326" s="73"/>
    </row>
    <row r="327">
      <c r="L327" s="16" t="s">
        <v>388</v>
      </c>
      <c r="M327" s="67">
        <v>80.0</v>
      </c>
    </row>
    <row r="328">
      <c r="L328" s="16" t="s">
        <v>390</v>
      </c>
      <c r="M328" s="67">
        <v>233.0</v>
      </c>
    </row>
    <row r="329">
      <c r="L329" s="16" t="s">
        <v>392</v>
      </c>
      <c r="M329" s="67">
        <v>2.9125</v>
      </c>
    </row>
    <row r="330">
      <c r="L330" s="16" t="s">
        <v>317</v>
      </c>
      <c r="M330" s="67">
        <v>13.574525316455688</v>
      </c>
    </row>
    <row r="333">
      <c r="L333" s="16" t="s">
        <v>472</v>
      </c>
    </row>
    <row r="334">
      <c r="L334" s="65" t="s">
        <v>473</v>
      </c>
      <c r="M334" s="65" t="s">
        <v>474</v>
      </c>
      <c r="N334" s="65" t="s">
        <v>321</v>
      </c>
      <c r="O334" s="65" t="s">
        <v>475</v>
      </c>
      <c r="P334" s="65" t="s">
        <v>476</v>
      </c>
      <c r="Q334" s="65" t="s">
        <v>477</v>
      </c>
      <c r="R334" s="65" t="s">
        <v>478</v>
      </c>
    </row>
    <row r="335">
      <c r="L335" s="16" t="s">
        <v>479</v>
      </c>
      <c r="M335" s="67">
        <v>530.8875</v>
      </c>
      <c r="N335" s="67">
        <v>39.0</v>
      </c>
      <c r="O335" s="67">
        <v>13.6125</v>
      </c>
      <c r="P335" s="67">
        <v>1.0055401662049863</v>
      </c>
      <c r="Q335" s="67">
        <v>0.4925806368411346</v>
      </c>
      <c r="R335" s="67">
        <v>1.6968961072452504</v>
      </c>
    </row>
    <row r="336">
      <c r="L336" s="16" t="s">
        <v>480</v>
      </c>
      <c r="M336" s="67">
        <v>0.0</v>
      </c>
      <c r="N336" s="67">
        <v>0.0</v>
      </c>
      <c r="O336" s="67" t="e">
        <v>#NUM!</v>
      </c>
      <c r="P336" s="67" t="e">
        <v>#NUM!</v>
      </c>
      <c r="Q336" s="67" t="e">
        <v>#NUM!</v>
      </c>
      <c r="R336" s="67" t="e">
        <v>#NUM!</v>
      </c>
    </row>
    <row r="337">
      <c r="L337" s="16" t="s">
        <v>481</v>
      </c>
      <c r="M337" s="67">
        <v>-6.821210263296962E-13</v>
      </c>
      <c r="N337" s="67">
        <v>0.0</v>
      </c>
      <c r="O337" s="67" t="e">
        <v>#NUM!</v>
      </c>
      <c r="P337" s="67" t="e">
        <v>#NUM!</v>
      </c>
      <c r="Q337" s="67" t="e">
        <v>#NUM!</v>
      </c>
      <c r="R337" s="67" t="e">
        <v>#NUM!</v>
      </c>
    </row>
    <row r="338">
      <c r="L338" s="16" t="s">
        <v>482</v>
      </c>
      <c r="M338" s="67">
        <v>541.5</v>
      </c>
      <c r="N338" s="67">
        <v>40.0</v>
      </c>
      <c r="O338" s="67">
        <v>13.5375</v>
      </c>
    </row>
    <row r="340">
      <c r="L340" s="72" t="s">
        <v>301</v>
      </c>
      <c r="M340" s="82">
        <v>1072.3874999999994</v>
      </c>
      <c r="N340" s="82">
        <v>79.0</v>
      </c>
      <c r="O340" s="73"/>
      <c r="P340" s="73"/>
      <c r="Q340" s="73"/>
      <c r="R340" s="73"/>
    </row>
  </sheetData>
  <mergeCells count="49">
    <mergeCell ref="A1:J1"/>
    <mergeCell ref="B2:D2"/>
    <mergeCell ref="H2:I2"/>
    <mergeCell ref="A87:I87"/>
    <mergeCell ref="A88:A89"/>
    <mergeCell ref="B88:D88"/>
    <mergeCell ref="F88:H88"/>
    <mergeCell ref="A106:I106"/>
    <mergeCell ref="B107:D107"/>
    <mergeCell ref="F107:H107"/>
    <mergeCell ref="A129:M129"/>
    <mergeCell ref="A130:M130"/>
    <mergeCell ref="A131:K131"/>
    <mergeCell ref="A132:M132"/>
    <mergeCell ref="A133:M133"/>
    <mergeCell ref="A134:M134"/>
    <mergeCell ref="A137:P137"/>
    <mergeCell ref="B138:H138"/>
    <mergeCell ref="B139:H139"/>
    <mergeCell ref="B140:H140"/>
    <mergeCell ref="A141:A144"/>
    <mergeCell ref="B141:H144"/>
    <mergeCell ref="A147:P147"/>
    <mergeCell ref="B148:H148"/>
    <mergeCell ref="L149:L150"/>
    <mergeCell ref="M149:M150"/>
    <mergeCell ref="N149:N150"/>
    <mergeCell ref="O149:O150"/>
    <mergeCell ref="H159:H160"/>
    <mergeCell ref="I159:I160"/>
    <mergeCell ref="F163:F164"/>
    <mergeCell ref="G163:G164"/>
    <mergeCell ref="H163:H164"/>
    <mergeCell ref="I163:I164"/>
    <mergeCell ref="A151:A154"/>
    <mergeCell ref="A174:A176"/>
    <mergeCell ref="B174:E174"/>
    <mergeCell ref="F174:I174"/>
    <mergeCell ref="B175:C175"/>
    <mergeCell ref="D175:E175"/>
    <mergeCell ref="F175:G175"/>
    <mergeCell ref="H175:I175"/>
    <mergeCell ref="B149:H149"/>
    <mergeCell ref="B150:H150"/>
    <mergeCell ref="B151:H154"/>
    <mergeCell ref="D157:I157"/>
    <mergeCell ref="F159:F160"/>
    <mergeCell ref="G159:G160"/>
    <mergeCell ref="D161:I16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17.38"/>
  </cols>
  <sheetData>
    <row r="1">
      <c r="A1" s="159" t="s">
        <v>483</v>
      </c>
      <c r="B1" s="160" t="s">
        <v>484</v>
      </c>
      <c r="C1" s="160" t="s">
        <v>485</v>
      </c>
      <c r="D1" s="160" t="s">
        <v>486</v>
      </c>
      <c r="E1" s="160" t="s">
        <v>487</v>
      </c>
      <c r="F1" s="160" t="s">
        <v>488</v>
      </c>
      <c r="G1" s="160" t="s">
        <v>489</v>
      </c>
      <c r="H1" s="160" t="s">
        <v>490</v>
      </c>
      <c r="I1" s="161" t="s">
        <v>316</v>
      </c>
      <c r="J1" s="161" t="s">
        <v>491</v>
      </c>
      <c r="K1" s="162"/>
    </row>
    <row r="2">
      <c r="A2" s="159">
        <v>1.0</v>
      </c>
      <c r="B2" s="22">
        <v>5.0</v>
      </c>
      <c r="C2" s="22">
        <v>5.0</v>
      </c>
      <c r="D2" s="22">
        <v>5.0</v>
      </c>
      <c r="E2" s="22">
        <v>5.0</v>
      </c>
      <c r="F2" s="22">
        <v>5.0</v>
      </c>
      <c r="G2" s="22">
        <v>5.0</v>
      </c>
      <c r="H2" s="22">
        <v>5.0</v>
      </c>
      <c r="I2" s="163">
        <f t="shared" ref="I2:I81" si="1">AVERAGE(B2:H2)</f>
        <v>5</v>
      </c>
      <c r="J2" s="164">
        <f t="shared" ref="J2:J81" si="2">STDEV(B2:H2)</f>
        <v>0</v>
      </c>
      <c r="K2" s="165"/>
    </row>
    <row r="3">
      <c r="A3" s="159">
        <v>2.0</v>
      </c>
      <c r="B3" s="22">
        <v>5.0</v>
      </c>
      <c r="C3" s="22">
        <v>4.0</v>
      </c>
      <c r="D3" s="22">
        <v>5.0</v>
      </c>
      <c r="E3" s="22">
        <v>5.0</v>
      </c>
      <c r="F3" s="22">
        <v>4.0</v>
      </c>
      <c r="G3" s="22">
        <v>5.0</v>
      </c>
      <c r="H3" s="22">
        <v>4.0</v>
      </c>
      <c r="I3" s="163">
        <f t="shared" si="1"/>
        <v>4.571428571</v>
      </c>
      <c r="J3" s="164">
        <f t="shared" si="2"/>
        <v>0.5345224838</v>
      </c>
      <c r="K3" s="165"/>
      <c r="L3" s="65" t="s">
        <v>484</v>
      </c>
      <c r="M3" s="166"/>
      <c r="N3" s="65" t="s">
        <v>485</v>
      </c>
      <c r="O3" s="166"/>
      <c r="P3" s="65" t="s">
        <v>486</v>
      </c>
      <c r="Q3" s="166"/>
      <c r="R3" s="65" t="s">
        <v>487</v>
      </c>
      <c r="S3" s="166"/>
      <c r="T3" s="65" t="s">
        <v>488</v>
      </c>
      <c r="U3" s="166"/>
      <c r="V3" s="65" t="s">
        <v>489</v>
      </c>
      <c r="W3" s="166"/>
      <c r="X3" s="65" t="s">
        <v>490</v>
      </c>
      <c r="Y3" s="166"/>
    </row>
    <row r="4">
      <c r="A4" s="159">
        <v>3.0</v>
      </c>
      <c r="B4" s="22">
        <v>5.0</v>
      </c>
      <c r="C4" s="22">
        <v>3.0</v>
      </c>
      <c r="D4" s="22">
        <v>4.0</v>
      </c>
      <c r="E4" s="22">
        <v>5.0</v>
      </c>
      <c r="F4" s="22">
        <v>3.0</v>
      </c>
      <c r="G4" s="22">
        <v>2.0</v>
      </c>
      <c r="H4" s="22">
        <v>4.0</v>
      </c>
      <c r="I4" s="163">
        <f t="shared" si="1"/>
        <v>3.714285714</v>
      </c>
      <c r="J4" s="164">
        <f t="shared" si="2"/>
        <v>1.112697281</v>
      </c>
      <c r="K4" s="165"/>
    </row>
    <row r="5">
      <c r="A5" s="159">
        <v>4.0</v>
      </c>
      <c r="B5" s="22">
        <v>4.0</v>
      </c>
      <c r="C5" s="22">
        <v>4.0</v>
      </c>
      <c r="D5" s="22">
        <v>3.0</v>
      </c>
      <c r="E5" s="22">
        <v>5.0</v>
      </c>
      <c r="F5" s="22">
        <v>5.0</v>
      </c>
      <c r="G5" s="22">
        <v>3.0</v>
      </c>
      <c r="H5" s="22">
        <v>4.0</v>
      </c>
      <c r="I5" s="163">
        <f t="shared" si="1"/>
        <v>4</v>
      </c>
      <c r="J5" s="164">
        <f t="shared" si="2"/>
        <v>0.8164965809</v>
      </c>
      <c r="K5" s="165"/>
      <c r="L5" s="16" t="s">
        <v>316</v>
      </c>
      <c r="M5" s="67">
        <v>4.3125</v>
      </c>
      <c r="N5" s="16" t="s">
        <v>316</v>
      </c>
      <c r="O5" s="67">
        <v>4.4125</v>
      </c>
      <c r="P5" s="16" t="s">
        <v>316</v>
      </c>
      <c r="Q5" s="67">
        <v>4.1625</v>
      </c>
      <c r="R5" s="16" t="s">
        <v>316</v>
      </c>
      <c r="S5" s="67">
        <v>4.3125</v>
      </c>
      <c r="T5" s="16" t="s">
        <v>316</v>
      </c>
      <c r="U5" s="67">
        <v>4.275</v>
      </c>
      <c r="V5" s="16" t="s">
        <v>316</v>
      </c>
      <c r="W5" s="67">
        <v>4.4</v>
      </c>
      <c r="X5" s="16" t="s">
        <v>316</v>
      </c>
      <c r="Y5" s="67">
        <v>4.475</v>
      </c>
    </row>
    <row r="6">
      <c r="A6" s="159">
        <v>5.0</v>
      </c>
      <c r="B6" s="22">
        <v>5.0</v>
      </c>
      <c r="C6" s="22">
        <v>4.0</v>
      </c>
      <c r="D6" s="22">
        <v>5.0</v>
      </c>
      <c r="E6" s="22">
        <v>3.0</v>
      </c>
      <c r="F6" s="22">
        <v>5.0</v>
      </c>
      <c r="G6" s="22">
        <v>5.0</v>
      </c>
      <c r="H6" s="22">
        <v>4.0</v>
      </c>
      <c r="I6" s="163">
        <f t="shared" si="1"/>
        <v>4.428571429</v>
      </c>
      <c r="J6" s="164">
        <f t="shared" si="2"/>
        <v>0.7867957925</v>
      </c>
      <c r="K6" s="165"/>
      <c r="L6" s="16" t="s">
        <v>492</v>
      </c>
      <c r="M6" s="67">
        <v>0.08640819742523552</v>
      </c>
      <c r="N6" s="16" t="s">
        <v>492</v>
      </c>
      <c r="O6" s="67">
        <v>0.07268309486036625</v>
      </c>
      <c r="P6" s="16" t="s">
        <v>492</v>
      </c>
      <c r="Q6" s="67">
        <v>0.08043345783466298</v>
      </c>
      <c r="R6" s="16" t="s">
        <v>492</v>
      </c>
      <c r="S6" s="67">
        <v>0.08266477599239846</v>
      </c>
      <c r="T6" s="16" t="s">
        <v>492</v>
      </c>
      <c r="U6" s="67">
        <v>0.08339133002926996</v>
      </c>
      <c r="V6" s="16" t="s">
        <v>492</v>
      </c>
      <c r="W6" s="67">
        <v>0.07875615306482166</v>
      </c>
      <c r="X6" s="16" t="s">
        <v>492</v>
      </c>
      <c r="Y6" s="67">
        <v>0.06155937753117163</v>
      </c>
    </row>
    <row r="7">
      <c r="A7" s="159">
        <v>6.0</v>
      </c>
      <c r="B7" s="22">
        <v>5.0</v>
      </c>
      <c r="C7" s="22">
        <v>5.0</v>
      </c>
      <c r="D7" s="22">
        <v>3.0</v>
      </c>
      <c r="E7" s="22">
        <v>3.0</v>
      </c>
      <c r="F7" s="22">
        <v>3.0</v>
      </c>
      <c r="G7" s="22">
        <v>3.0</v>
      </c>
      <c r="H7" s="22">
        <v>5.0</v>
      </c>
      <c r="I7" s="163">
        <f t="shared" si="1"/>
        <v>3.857142857</v>
      </c>
      <c r="J7" s="164">
        <f t="shared" si="2"/>
        <v>1.069044968</v>
      </c>
      <c r="K7" s="165"/>
      <c r="L7" s="16" t="s">
        <v>493</v>
      </c>
      <c r="M7" s="67">
        <v>4.5</v>
      </c>
      <c r="N7" s="16" t="s">
        <v>493</v>
      </c>
      <c r="O7" s="67">
        <v>4.5</v>
      </c>
      <c r="P7" s="16" t="s">
        <v>493</v>
      </c>
      <c r="Q7" s="67">
        <v>4.0</v>
      </c>
      <c r="R7" s="16" t="s">
        <v>493</v>
      </c>
      <c r="S7" s="67">
        <v>4.0</v>
      </c>
      <c r="T7" s="16" t="s">
        <v>493</v>
      </c>
      <c r="U7" s="67">
        <v>4.0</v>
      </c>
      <c r="V7" s="16" t="s">
        <v>493</v>
      </c>
      <c r="W7" s="67">
        <v>5.0</v>
      </c>
      <c r="X7" s="16" t="s">
        <v>493</v>
      </c>
      <c r="Y7" s="67">
        <v>4.5</v>
      </c>
    </row>
    <row r="8">
      <c r="A8" s="159">
        <v>7.0</v>
      </c>
      <c r="B8" s="22">
        <v>4.0</v>
      </c>
      <c r="C8" s="22">
        <v>5.0</v>
      </c>
      <c r="D8" s="22">
        <v>5.0</v>
      </c>
      <c r="E8" s="22">
        <v>3.0</v>
      </c>
      <c r="F8" s="22">
        <v>5.0</v>
      </c>
      <c r="G8" s="22">
        <v>5.0</v>
      </c>
      <c r="H8" s="22">
        <v>5.0</v>
      </c>
      <c r="I8" s="163">
        <f t="shared" si="1"/>
        <v>4.571428571</v>
      </c>
      <c r="J8" s="164">
        <f t="shared" si="2"/>
        <v>0.7867957925</v>
      </c>
      <c r="K8" s="165"/>
      <c r="L8" s="16" t="s">
        <v>494</v>
      </c>
      <c r="M8" s="67">
        <v>5.0</v>
      </c>
      <c r="N8" s="16" t="s">
        <v>494</v>
      </c>
      <c r="O8" s="67">
        <v>5.0</v>
      </c>
      <c r="P8" s="16" t="s">
        <v>494</v>
      </c>
      <c r="Q8" s="67">
        <v>4.0</v>
      </c>
      <c r="R8" s="16" t="s">
        <v>494</v>
      </c>
      <c r="S8" s="67">
        <v>5.0</v>
      </c>
      <c r="T8" s="16" t="s">
        <v>494</v>
      </c>
      <c r="U8" s="67">
        <v>5.0</v>
      </c>
      <c r="V8" s="16" t="s">
        <v>494</v>
      </c>
      <c r="W8" s="67">
        <v>5.0</v>
      </c>
      <c r="X8" s="16" t="s">
        <v>494</v>
      </c>
      <c r="Y8" s="67">
        <v>5.0</v>
      </c>
    </row>
    <row r="9">
      <c r="A9" s="159">
        <v>8.0</v>
      </c>
      <c r="B9" s="22">
        <v>5.0</v>
      </c>
      <c r="C9" s="22">
        <v>5.0</v>
      </c>
      <c r="D9" s="22">
        <v>3.0</v>
      </c>
      <c r="E9" s="22">
        <v>5.0</v>
      </c>
      <c r="F9" s="22">
        <v>5.0</v>
      </c>
      <c r="G9" s="22">
        <v>4.0</v>
      </c>
      <c r="H9" s="22">
        <v>5.0</v>
      </c>
      <c r="I9" s="163">
        <f t="shared" si="1"/>
        <v>4.571428571</v>
      </c>
      <c r="J9" s="164">
        <f t="shared" si="2"/>
        <v>0.7867957925</v>
      </c>
      <c r="K9" s="165"/>
      <c r="L9" s="16" t="s">
        <v>495</v>
      </c>
      <c r="M9" s="67">
        <v>0.7728584130241958</v>
      </c>
      <c r="N9" s="16" t="s">
        <v>495</v>
      </c>
      <c r="O9" s="67">
        <v>0.6500973636913782</v>
      </c>
      <c r="P9" s="16" t="s">
        <v>495</v>
      </c>
      <c r="Q9" s="67">
        <v>0.7194187175346779</v>
      </c>
      <c r="R9" s="16" t="s">
        <v>495</v>
      </c>
      <c r="S9" s="67">
        <v>0.7393762338551825</v>
      </c>
      <c r="T9" s="16" t="s">
        <v>495</v>
      </c>
      <c r="U9" s="67">
        <v>0.7458747307182687</v>
      </c>
      <c r="V9" s="16" t="s">
        <v>495</v>
      </c>
      <c r="W9" s="67">
        <v>0.7044164475972785</v>
      </c>
      <c r="X9" s="16" t="s">
        <v>495</v>
      </c>
      <c r="Y9" s="67">
        <v>0.5506038112490919</v>
      </c>
    </row>
    <row r="10">
      <c r="A10" s="159">
        <v>9.0</v>
      </c>
      <c r="B10" s="22">
        <v>5.0</v>
      </c>
      <c r="C10" s="22">
        <v>4.0</v>
      </c>
      <c r="D10" s="22">
        <v>3.0</v>
      </c>
      <c r="E10" s="22">
        <v>4.0</v>
      </c>
      <c r="F10" s="22">
        <v>3.0</v>
      </c>
      <c r="G10" s="22">
        <v>5.0</v>
      </c>
      <c r="H10" s="22">
        <v>4.0</v>
      </c>
      <c r="I10" s="163">
        <f t="shared" si="1"/>
        <v>4</v>
      </c>
      <c r="J10" s="164">
        <f t="shared" si="2"/>
        <v>0.8164965809</v>
      </c>
      <c r="K10" s="165"/>
      <c r="L10" s="16" t="s">
        <v>496</v>
      </c>
      <c r="M10" s="67">
        <v>0.5973101265822784</v>
      </c>
      <c r="N10" s="16" t="s">
        <v>496</v>
      </c>
      <c r="O10" s="67">
        <v>0.42262658227848</v>
      </c>
      <c r="P10" s="16" t="s">
        <v>496</v>
      </c>
      <c r="Q10" s="67">
        <v>0.5175632911392407</v>
      </c>
      <c r="R10" s="16" t="s">
        <v>496</v>
      </c>
      <c r="S10" s="67">
        <v>0.5466772151898734</v>
      </c>
      <c r="T10" s="16" t="s">
        <v>496</v>
      </c>
      <c r="U10" s="67">
        <v>0.5563291139240498</v>
      </c>
      <c r="V10" s="16" t="s">
        <v>496</v>
      </c>
      <c r="W10" s="67">
        <v>0.4962025316455695</v>
      </c>
      <c r="X10" s="16" t="s">
        <v>496</v>
      </c>
      <c r="Y10" s="67">
        <v>0.3031645569620256</v>
      </c>
    </row>
    <row r="11">
      <c r="A11" s="159">
        <v>10.0</v>
      </c>
      <c r="B11" s="22">
        <v>4.0</v>
      </c>
      <c r="C11" s="22">
        <v>5.0</v>
      </c>
      <c r="D11" s="22">
        <v>4.0</v>
      </c>
      <c r="E11" s="22">
        <v>5.0</v>
      </c>
      <c r="F11" s="22">
        <v>5.0</v>
      </c>
      <c r="G11" s="22">
        <v>5.0</v>
      </c>
      <c r="H11" s="22">
        <v>5.0</v>
      </c>
      <c r="I11" s="163">
        <f t="shared" si="1"/>
        <v>4.714285714</v>
      </c>
      <c r="J11" s="164">
        <f t="shared" si="2"/>
        <v>0.4879500365</v>
      </c>
      <c r="K11" s="165"/>
      <c r="L11" s="16" t="s">
        <v>497</v>
      </c>
      <c r="M11" s="67">
        <v>-1.0622588235850818</v>
      </c>
      <c r="N11" s="16" t="s">
        <v>497</v>
      </c>
      <c r="O11" s="67">
        <v>-0.5493633071507049</v>
      </c>
      <c r="P11" s="16" t="s">
        <v>497</v>
      </c>
      <c r="Q11" s="67">
        <v>-1.0170646762296771</v>
      </c>
      <c r="R11" s="16" t="s">
        <v>497</v>
      </c>
      <c r="S11" s="67">
        <v>-0.9538396034863967</v>
      </c>
      <c r="T11" s="16" t="s">
        <v>497</v>
      </c>
      <c r="U11" s="67">
        <v>-1.0383689625148405</v>
      </c>
      <c r="V11" s="16" t="s">
        <v>497</v>
      </c>
      <c r="W11" s="67">
        <v>0.5532857396664257</v>
      </c>
      <c r="X11" s="16" t="s">
        <v>497</v>
      </c>
      <c r="Y11" s="67">
        <v>-0.9716771519587981</v>
      </c>
    </row>
    <row r="12">
      <c r="A12" s="159">
        <v>11.0</v>
      </c>
      <c r="B12" s="22">
        <v>5.0</v>
      </c>
      <c r="C12" s="22">
        <v>4.0</v>
      </c>
      <c r="D12" s="22">
        <v>5.0</v>
      </c>
      <c r="E12" s="22">
        <v>4.0</v>
      </c>
      <c r="F12" s="22">
        <v>5.0</v>
      </c>
      <c r="G12" s="22">
        <v>4.0</v>
      </c>
      <c r="H12" s="22">
        <v>5.0</v>
      </c>
      <c r="I12" s="163">
        <f t="shared" si="1"/>
        <v>4.571428571</v>
      </c>
      <c r="J12" s="164">
        <f t="shared" si="2"/>
        <v>0.5345224838</v>
      </c>
      <c r="K12" s="165"/>
      <c r="L12" s="16" t="s">
        <v>498</v>
      </c>
      <c r="M12" s="67">
        <v>-0.6097074396250431</v>
      </c>
      <c r="N12" s="16" t="s">
        <v>498</v>
      </c>
      <c r="O12" s="67">
        <v>-0.6583432528571307</v>
      </c>
      <c r="P12" s="16" t="s">
        <v>498</v>
      </c>
      <c r="Q12" s="67">
        <v>-0.2536950853794156</v>
      </c>
      <c r="R12" s="16" t="s">
        <v>498</v>
      </c>
      <c r="S12" s="67">
        <v>-0.5758966511342514</v>
      </c>
      <c r="T12" s="16" t="s">
        <v>498</v>
      </c>
      <c r="U12" s="67">
        <v>-0.4981749299306446</v>
      </c>
      <c r="V12" s="16" t="s">
        <v>498</v>
      </c>
      <c r="W12" s="67">
        <v>-0.9716672588761373</v>
      </c>
      <c r="X12" s="16" t="s">
        <v>498</v>
      </c>
      <c r="Y12" s="67">
        <v>-0.365745892543531</v>
      </c>
    </row>
    <row r="13">
      <c r="A13" s="159">
        <v>12.0</v>
      </c>
      <c r="B13" s="22">
        <v>5.0</v>
      </c>
      <c r="C13" s="22">
        <v>5.0</v>
      </c>
      <c r="D13" s="22">
        <v>4.0</v>
      </c>
      <c r="E13" s="22">
        <v>5.0</v>
      </c>
      <c r="F13" s="22">
        <v>4.0</v>
      </c>
      <c r="G13" s="22">
        <v>5.0</v>
      </c>
      <c r="H13" s="22">
        <v>4.0</v>
      </c>
      <c r="I13" s="163">
        <f t="shared" si="1"/>
        <v>4.571428571</v>
      </c>
      <c r="J13" s="164">
        <f t="shared" si="2"/>
        <v>0.5345224838</v>
      </c>
      <c r="K13" s="165"/>
      <c r="L13" s="16" t="s">
        <v>499</v>
      </c>
      <c r="M13" s="67">
        <v>2.0</v>
      </c>
      <c r="N13" s="16" t="s">
        <v>499</v>
      </c>
      <c r="O13" s="67">
        <v>2.0</v>
      </c>
      <c r="P13" s="16" t="s">
        <v>499</v>
      </c>
      <c r="Q13" s="67">
        <v>2.0</v>
      </c>
      <c r="R13" s="16" t="s">
        <v>499</v>
      </c>
      <c r="S13" s="67">
        <v>2.0</v>
      </c>
      <c r="T13" s="16" t="s">
        <v>499</v>
      </c>
      <c r="U13" s="67">
        <v>2.0</v>
      </c>
      <c r="V13" s="16" t="s">
        <v>499</v>
      </c>
      <c r="W13" s="67">
        <v>3.0</v>
      </c>
      <c r="X13" s="16" t="s">
        <v>499</v>
      </c>
      <c r="Y13" s="67">
        <v>2.0</v>
      </c>
    </row>
    <row r="14">
      <c r="A14" s="159">
        <v>13.0</v>
      </c>
      <c r="B14" s="22">
        <v>4.0</v>
      </c>
      <c r="C14" s="22">
        <v>5.0</v>
      </c>
      <c r="D14" s="22">
        <v>4.0</v>
      </c>
      <c r="E14" s="22">
        <v>5.0</v>
      </c>
      <c r="F14" s="22">
        <v>5.0</v>
      </c>
      <c r="G14" s="22">
        <v>5.0</v>
      </c>
      <c r="H14" s="22">
        <v>4.0</v>
      </c>
      <c r="I14" s="163">
        <f t="shared" si="1"/>
        <v>4.571428571</v>
      </c>
      <c r="J14" s="164">
        <f t="shared" si="2"/>
        <v>0.5345224838</v>
      </c>
      <c r="K14" s="165"/>
      <c r="L14" s="16" t="s">
        <v>500</v>
      </c>
      <c r="M14" s="67">
        <v>3.0</v>
      </c>
      <c r="N14" s="16" t="s">
        <v>500</v>
      </c>
      <c r="O14" s="67">
        <v>3.0</v>
      </c>
      <c r="P14" s="16" t="s">
        <v>500</v>
      </c>
      <c r="Q14" s="67">
        <v>3.0</v>
      </c>
      <c r="R14" s="16" t="s">
        <v>500</v>
      </c>
      <c r="S14" s="67">
        <v>3.0</v>
      </c>
      <c r="T14" s="16" t="s">
        <v>500</v>
      </c>
      <c r="U14" s="67">
        <v>3.0</v>
      </c>
      <c r="V14" s="16" t="s">
        <v>500</v>
      </c>
      <c r="W14" s="67">
        <v>2.0</v>
      </c>
      <c r="X14" s="16" t="s">
        <v>500</v>
      </c>
      <c r="Y14" s="67">
        <v>3.0</v>
      </c>
    </row>
    <row r="15">
      <c r="A15" s="159">
        <v>14.0</v>
      </c>
      <c r="B15" s="22">
        <v>4.0</v>
      </c>
      <c r="C15" s="22">
        <v>5.0</v>
      </c>
      <c r="D15" s="22">
        <v>4.0</v>
      </c>
      <c r="E15" s="22">
        <v>5.0</v>
      </c>
      <c r="F15" s="22">
        <v>5.0</v>
      </c>
      <c r="G15" s="22">
        <v>5.0</v>
      </c>
      <c r="H15" s="22">
        <v>5.0</v>
      </c>
      <c r="I15" s="163">
        <f t="shared" si="1"/>
        <v>4.714285714</v>
      </c>
      <c r="J15" s="164">
        <f t="shared" si="2"/>
        <v>0.4879500365</v>
      </c>
      <c r="K15" s="165"/>
      <c r="L15" s="16" t="s">
        <v>501</v>
      </c>
      <c r="M15" s="67">
        <v>5.0</v>
      </c>
      <c r="N15" s="16" t="s">
        <v>501</v>
      </c>
      <c r="O15" s="67">
        <v>5.0</v>
      </c>
      <c r="P15" s="16" t="s">
        <v>501</v>
      </c>
      <c r="Q15" s="67">
        <v>5.0</v>
      </c>
      <c r="R15" s="16" t="s">
        <v>501</v>
      </c>
      <c r="S15" s="67">
        <v>5.0</v>
      </c>
      <c r="T15" s="16" t="s">
        <v>501</v>
      </c>
      <c r="U15" s="67">
        <v>5.0</v>
      </c>
      <c r="V15" s="16" t="s">
        <v>501</v>
      </c>
      <c r="W15" s="67">
        <v>5.0</v>
      </c>
      <c r="X15" s="16" t="s">
        <v>501</v>
      </c>
      <c r="Y15" s="67">
        <v>5.0</v>
      </c>
    </row>
    <row r="16">
      <c r="A16" s="159">
        <v>15.0</v>
      </c>
      <c r="B16" s="22">
        <v>5.0</v>
      </c>
      <c r="C16" s="22">
        <v>4.0</v>
      </c>
      <c r="D16" s="22">
        <v>5.0</v>
      </c>
      <c r="E16" s="22">
        <v>5.0</v>
      </c>
      <c r="F16" s="22">
        <v>4.0</v>
      </c>
      <c r="G16" s="22">
        <v>3.0</v>
      </c>
      <c r="H16" s="22">
        <v>5.0</v>
      </c>
      <c r="I16" s="163">
        <f t="shared" si="1"/>
        <v>4.428571429</v>
      </c>
      <c r="J16" s="164">
        <f t="shared" si="2"/>
        <v>0.7867957925</v>
      </c>
      <c r="K16" s="165"/>
      <c r="L16" s="16" t="s">
        <v>390</v>
      </c>
      <c r="M16" s="67">
        <v>345.0</v>
      </c>
      <c r="N16" s="16" t="s">
        <v>390</v>
      </c>
      <c r="O16" s="67">
        <v>353.0</v>
      </c>
      <c r="P16" s="16" t="s">
        <v>390</v>
      </c>
      <c r="Q16" s="67">
        <v>333.0</v>
      </c>
      <c r="R16" s="16" t="s">
        <v>390</v>
      </c>
      <c r="S16" s="67">
        <v>345.0</v>
      </c>
      <c r="T16" s="16" t="s">
        <v>390</v>
      </c>
      <c r="U16" s="67">
        <v>342.0</v>
      </c>
      <c r="V16" s="16" t="s">
        <v>390</v>
      </c>
      <c r="W16" s="67">
        <v>352.0</v>
      </c>
      <c r="X16" s="16" t="s">
        <v>390</v>
      </c>
      <c r="Y16" s="67">
        <v>358.0</v>
      </c>
    </row>
    <row r="17">
      <c r="A17" s="159">
        <v>16.0</v>
      </c>
      <c r="B17" s="22">
        <v>4.0</v>
      </c>
      <c r="C17" s="22">
        <v>5.0</v>
      </c>
      <c r="D17" s="22">
        <v>4.0</v>
      </c>
      <c r="E17" s="22">
        <v>4.0</v>
      </c>
      <c r="F17" s="22">
        <v>5.0</v>
      </c>
      <c r="G17" s="22">
        <v>4.0</v>
      </c>
      <c r="H17" s="22">
        <v>4.0</v>
      </c>
      <c r="I17" s="163">
        <f t="shared" si="1"/>
        <v>4.285714286</v>
      </c>
      <c r="J17" s="164">
        <f t="shared" si="2"/>
        <v>0.4879500365</v>
      </c>
      <c r="K17" s="165"/>
      <c r="L17" s="16" t="s">
        <v>388</v>
      </c>
      <c r="M17" s="67">
        <v>80.0</v>
      </c>
      <c r="N17" s="16" t="s">
        <v>388</v>
      </c>
      <c r="O17" s="67">
        <v>80.0</v>
      </c>
      <c r="P17" s="16" t="s">
        <v>388</v>
      </c>
      <c r="Q17" s="67">
        <v>80.0</v>
      </c>
      <c r="R17" s="16" t="s">
        <v>388</v>
      </c>
      <c r="S17" s="67">
        <v>80.0</v>
      </c>
      <c r="T17" s="16" t="s">
        <v>388</v>
      </c>
      <c r="U17" s="67">
        <v>80.0</v>
      </c>
      <c r="V17" s="16" t="s">
        <v>388</v>
      </c>
      <c r="W17" s="67">
        <v>80.0</v>
      </c>
      <c r="X17" s="16" t="s">
        <v>388</v>
      </c>
      <c r="Y17" s="67">
        <v>80.0</v>
      </c>
    </row>
    <row r="18">
      <c r="A18" s="159">
        <v>17.0</v>
      </c>
      <c r="B18" s="22">
        <v>4.0</v>
      </c>
      <c r="C18" s="22">
        <v>5.0</v>
      </c>
      <c r="D18" s="22">
        <v>4.0</v>
      </c>
      <c r="E18" s="22">
        <v>5.0</v>
      </c>
      <c r="F18" s="22">
        <v>4.0</v>
      </c>
      <c r="G18" s="22">
        <v>5.0</v>
      </c>
      <c r="H18" s="22">
        <v>5.0</v>
      </c>
      <c r="I18" s="163">
        <f t="shared" si="1"/>
        <v>4.571428571</v>
      </c>
      <c r="J18" s="164">
        <f t="shared" si="2"/>
        <v>0.5345224838</v>
      </c>
      <c r="K18" s="165"/>
      <c r="L18" s="16" t="s">
        <v>502</v>
      </c>
      <c r="M18" s="67">
        <v>5.0</v>
      </c>
      <c r="N18" s="16" t="s">
        <v>502</v>
      </c>
      <c r="O18" s="67">
        <v>5.0</v>
      </c>
      <c r="P18" s="16" t="s">
        <v>502</v>
      </c>
      <c r="Q18" s="67">
        <v>5.0</v>
      </c>
      <c r="R18" s="16" t="s">
        <v>502</v>
      </c>
      <c r="S18" s="67">
        <v>5.0</v>
      </c>
      <c r="T18" s="16" t="s">
        <v>502</v>
      </c>
      <c r="U18" s="67">
        <v>5.0</v>
      </c>
      <c r="V18" s="16" t="s">
        <v>502</v>
      </c>
      <c r="W18" s="67">
        <v>5.0</v>
      </c>
      <c r="X18" s="16" t="s">
        <v>502</v>
      </c>
      <c r="Y18" s="67">
        <v>5.0</v>
      </c>
    </row>
    <row r="19">
      <c r="A19" s="159">
        <v>18.0</v>
      </c>
      <c r="B19" s="22">
        <v>5.0</v>
      </c>
      <c r="C19" s="22">
        <v>5.0</v>
      </c>
      <c r="D19" s="22">
        <v>4.0</v>
      </c>
      <c r="E19" s="22">
        <v>5.0</v>
      </c>
      <c r="F19" s="22">
        <v>5.0</v>
      </c>
      <c r="G19" s="22">
        <v>4.0</v>
      </c>
      <c r="H19" s="22">
        <v>5.0</v>
      </c>
      <c r="I19" s="163">
        <f t="shared" si="1"/>
        <v>4.714285714</v>
      </c>
      <c r="J19" s="164">
        <f t="shared" si="2"/>
        <v>0.4879500365</v>
      </c>
      <c r="K19" s="165"/>
      <c r="L19" s="16" t="s">
        <v>503</v>
      </c>
      <c r="M19" s="67">
        <v>3.0</v>
      </c>
      <c r="N19" s="16" t="s">
        <v>503</v>
      </c>
      <c r="O19" s="67">
        <v>3.0</v>
      </c>
      <c r="P19" s="16" t="s">
        <v>503</v>
      </c>
      <c r="Q19" s="67">
        <v>3.0</v>
      </c>
      <c r="R19" s="16" t="s">
        <v>503</v>
      </c>
      <c r="S19" s="67">
        <v>3.0</v>
      </c>
      <c r="T19" s="16" t="s">
        <v>503</v>
      </c>
      <c r="U19" s="67">
        <v>3.0</v>
      </c>
      <c r="V19" s="16" t="s">
        <v>503</v>
      </c>
      <c r="W19" s="67">
        <v>2.0</v>
      </c>
      <c r="X19" s="16" t="s">
        <v>503</v>
      </c>
      <c r="Y19" s="67">
        <v>3.0</v>
      </c>
    </row>
    <row r="20">
      <c r="A20" s="159">
        <v>19.0</v>
      </c>
      <c r="B20" s="22">
        <v>5.0</v>
      </c>
      <c r="C20" s="22">
        <v>5.0</v>
      </c>
      <c r="D20" s="22">
        <v>4.0</v>
      </c>
      <c r="E20" s="22">
        <v>5.0</v>
      </c>
      <c r="F20" s="22">
        <v>4.0</v>
      </c>
      <c r="G20" s="22">
        <v>5.0</v>
      </c>
      <c r="H20" s="22">
        <v>5.0</v>
      </c>
      <c r="I20" s="163">
        <f t="shared" si="1"/>
        <v>4.714285714</v>
      </c>
      <c r="J20" s="164">
        <f t="shared" si="2"/>
        <v>0.4879500365</v>
      </c>
      <c r="K20" s="165"/>
      <c r="L20" s="16" t="s">
        <v>504</v>
      </c>
      <c r="M20" s="67">
        <v>0.17199121181862154</v>
      </c>
      <c r="N20" s="16" t="s">
        <v>504</v>
      </c>
      <c r="O20" s="67">
        <v>0.14467207899549717</v>
      </c>
      <c r="P20" s="16" t="s">
        <v>504</v>
      </c>
      <c r="Q20" s="67">
        <v>0.16009879034585062</v>
      </c>
      <c r="R20" s="16" t="s">
        <v>504</v>
      </c>
      <c r="S20" s="67">
        <v>0.16454011796680756</v>
      </c>
      <c r="T20" s="16" t="s">
        <v>504</v>
      </c>
      <c r="U20" s="67">
        <v>0.16598628757775646</v>
      </c>
      <c r="V20" s="16" t="s">
        <v>504</v>
      </c>
      <c r="W20" s="67">
        <v>0.15676019877062686</v>
      </c>
      <c r="X20" s="16" t="s">
        <v>504</v>
      </c>
      <c r="Y20" s="67">
        <v>0.12253087387394146</v>
      </c>
    </row>
    <row r="21">
      <c r="A21" s="159">
        <v>20.0</v>
      </c>
      <c r="B21" s="22">
        <v>5.0</v>
      </c>
      <c r="C21" s="22">
        <v>5.0</v>
      </c>
      <c r="D21" s="22">
        <v>4.0</v>
      </c>
      <c r="E21" s="22">
        <v>5.0</v>
      </c>
      <c r="F21" s="22">
        <v>4.0</v>
      </c>
      <c r="G21" s="22">
        <v>5.0</v>
      </c>
      <c r="H21" s="22">
        <v>5.0</v>
      </c>
      <c r="I21" s="163">
        <f t="shared" si="1"/>
        <v>4.714285714</v>
      </c>
      <c r="J21" s="164">
        <f t="shared" si="2"/>
        <v>0.4879500365</v>
      </c>
      <c r="K21" s="165"/>
    </row>
    <row r="22">
      <c r="A22" s="159">
        <v>21.0</v>
      </c>
      <c r="B22" s="22">
        <v>5.0</v>
      </c>
      <c r="C22" s="22">
        <v>4.0</v>
      </c>
      <c r="D22" s="22">
        <v>5.0</v>
      </c>
      <c r="E22" s="22">
        <v>4.0</v>
      </c>
      <c r="F22" s="22">
        <v>5.0</v>
      </c>
      <c r="G22" s="22">
        <v>5.0</v>
      </c>
      <c r="H22" s="22">
        <v>5.0</v>
      </c>
      <c r="I22" s="163">
        <f t="shared" si="1"/>
        <v>4.714285714</v>
      </c>
      <c r="J22" s="164">
        <f t="shared" si="2"/>
        <v>0.4879500365</v>
      </c>
      <c r="K22" s="165"/>
    </row>
    <row r="23">
      <c r="A23" s="159">
        <v>22.0</v>
      </c>
      <c r="B23" s="22">
        <v>5.0</v>
      </c>
      <c r="C23" s="22">
        <v>4.0</v>
      </c>
      <c r="D23" s="22">
        <v>5.0</v>
      </c>
      <c r="E23" s="22">
        <v>4.0</v>
      </c>
      <c r="F23" s="22">
        <v>5.0</v>
      </c>
      <c r="G23" s="22">
        <v>5.0</v>
      </c>
      <c r="H23" s="22">
        <v>5.0</v>
      </c>
      <c r="I23" s="163">
        <f t="shared" si="1"/>
        <v>4.714285714</v>
      </c>
      <c r="J23" s="164">
        <f t="shared" si="2"/>
        <v>0.4879500365</v>
      </c>
      <c r="K23" s="165"/>
    </row>
    <row r="24">
      <c r="A24" s="159">
        <v>23.0</v>
      </c>
      <c r="B24" s="22">
        <v>5.0</v>
      </c>
      <c r="C24" s="22">
        <v>4.0</v>
      </c>
      <c r="D24" s="22">
        <v>4.0</v>
      </c>
      <c r="E24" s="22">
        <v>5.0</v>
      </c>
      <c r="F24" s="22">
        <v>4.0</v>
      </c>
      <c r="G24" s="22">
        <v>5.0</v>
      </c>
      <c r="H24" s="22">
        <v>4.0</v>
      </c>
      <c r="I24" s="163">
        <f t="shared" si="1"/>
        <v>4.428571429</v>
      </c>
      <c r="J24" s="164">
        <f t="shared" si="2"/>
        <v>0.5345224838</v>
      </c>
      <c r="K24" s="165"/>
      <c r="Q24" s="67">
        <v>4.3125</v>
      </c>
    </row>
    <row r="25">
      <c r="A25" s="159">
        <v>24.0</v>
      </c>
      <c r="B25" s="22">
        <v>5.0</v>
      </c>
      <c r="C25" s="22">
        <v>5.0</v>
      </c>
      <c r="D25" s="22">
        <v>5.0</v>
      </c>
      <c r="E25" s="22">
        <v>4.0</v>
      </c>
      <c r="F25" s="22">
        <v>4.0</v>
      </c>
      <c r="G25" s="22">
        <v>5.0</v>
      </c>
      <c r="H25" s="22">
        <v>5.0</v>
      </c>
      <c r="I25" s="163">
        <f t="shared" si="1"/>
        <v>4.714285714</v>
      </c>
      <c r="J25" s="164">
        <f t="shared" si="2"/>
        <v>0.4879500365</v>
      </c>
      <c r="K25" s="165"/>
      <c r="Q25" s="67">
        <v>4.4125</v>
      </c>
    </row>
    <row r="26">
      <c r="A26" s="159">
        <v>25.0</v>
      </c>
      <c r="B26" s="22">
        <v>5.0</v>
      </c>
      <c r="C26" s="22">
        <v>4.0</v>
      </c>
      <c r="D26" s="22">
        <v>5.0</v>
      </c>
      <c r="E26" s="22">
        <v>4.0</v>
      </c>
      <c r="F26" s="22">
        <v>3.0</v>
      </c>
      <c r="G26" s="22">
        <v>5.0</v>
      </c>
      <c r="H26" s="22">
        <v>4.0</v>
      </c>
      <c r="I26" s="163">
        <f t="shared" si="1"/>
        <v>4.285714286</v>
      </c>
      <c r="J26" s="164">
        <f t="shared" si="2"/>
        <v>0.755928946</v>
      </c>
      <c r="K26" s="165"/>
      <c r="O26" s="105">
        <f>AVERAGE(Q24:Q30)</f>
        <v>4.335714286</v>
      </c>
      <c r="Q26" s="67">
        <v>4.1625</v>
      </c>
    </row>
    <row r="27">
      <c r="A27" s="159">
        <v>26.0</v>
      </c>
      <c r="B27" s="22">
        <v>4.0</v>
      </c>
      <c r="C27" s="22">
        <v>5.0</v>
      </c>
      <c r="D27" s="22">
        <v>4.0</v>
      </c>
      <c r="E27" s="22">
        <v>5.0</v>
      </c>
      <c r="F27" s="22">
        <v>3.0</v>
      </c>
      <c r="G27" s="22">
        <v>5.0</v>
      </c>
      <c r="H27" s="22">
        <v>4.0</v>
      </c>
      <c r="I27" s="163">
        <f t="shared" si="1"/>
        <v>4.285714286</v>
      </c>
      <c r="J27" s="164">
        <f t="shared" si="2"/>
        <v>0.755928946</v>
      </c>
      <c r="K27" s="165"/>
      <c r="Q27" s="67">
        <v>4.3125</v>
      </c>
    </row>
    <row r="28">
      <c r="A28" s="159">
        <v>27.0</v>
      </c>
      <c r="B28" s="22">
        <v>5.0</v>
      </c>
      <c r="C28" s="22">
        <v>4.0</v>
      </c>
      <c r="D28" s="22">
        <v>4.0</v>
      </c>
      <c r="E28" s="22">
        <v>3.0</v>
      </c>
      <c r="F28" s="22">
        <v>4.0</v>
      </c>
      <c r="G28" s="22">
        <v>4.0</v>
      </c>
      <c r="H28" s="22">
        <v>4.0</v>
      </c>
      <c r="I28" s="163">
        <f t="shared" si="1"/>
        <v>4</v>
      </c>
      <c r="J28" s="164">
        <f t="shared" si="2"/>
        <v>0.5773502692</v>
      </c>
      <c r="K28" s="165"/>
      <c r="Q28" s="67">
        <v>4.275</v>
      </c>
    </row>
    <row r="29">
      <c r="A29" s="159">
        <v>28.0</v>
      </c>
      <c r="B29" s="22">
        <v>5.0</v>
      </c>
      <c r="C29" s="22">
        <v>5.0</v>
      </c>
      <c r="D29" s="22">
        <v>5.0</v>
      </c>
      <c r="E29" s="22">
        <v>4.0</v>
      </c>
      <c r="F29" s="22">
        <v>5.0</v>
      </c>
      <c r="G29" s="22">
        <v>4.0</v>
      </c>
      <c r="H29" s="22">
        <v>3.0</v>
      </c>
      <c r="I29" s="163">
        <f t="shared" si="1"/>
        <v>4.428571429</v>
      </c>
      <c r="J29" s="164">
        <f t="shared" si="2"/>
        <v>0.7867957925</v>
      </c>
      <c r="K29" s="165"/>
      <c r="Q29" s="67">
        <v>4.4</v>
      </c>
    </row>
    <row r="30">
      <c r="A30" s="159">
        <v>29.0</v>
      </c>
      <c r="B30" s="22">
        <v>5.0</v>
      </c>
      <c r="C30" s="22">
        <v>5.0</v>
      </c>
      <c r="D30" s="22">
        <v>4.0</v>
      </c>
      <c r="E30" s="22">
        <v>5.0</v>
      </c>
      <c r="F30" s="22">
        <v>4.0</v>
      </c>
      <c r="G30" s="22">
        <v>4.0</v>
      </c>
      <c r="H30" s="22">
        <v>4.0</v>
      </c>
      <c r="I30" s="163">
        <f t="shared" si="1"/>
        <v>4.428571429</v>
      </c>
      <c r="J30" s="164">
        <f t="shared" si="2"/>
        <v>0.5345224838</v>
      </c>
      <c r="K30" s="165"/>
      <c r="Q30" s="67">
        <v>4.475</v>
      </c>
    </row>
    <row r="31">
      <c r="A31" s="159">
        <v>30.0</v>
      </c>
      <c r="B31" s="22">
        <v>5.0</v>
      </c>
      <c r="C31" s="22">
        <v>4.0</v>
      </c>
      <c r="D31" s="22">
        <v>5.0</v>
      </c>
      <c r="E31" s="22">
        <v>4.0</v>
      </c>
      <c r="F31" s="22">
        <v>5.0</v>
      </c>
      <c r="G31" s="22">
        <v>5.0</v>
      </c>
      <c r="H31" s="22">
        <v>5.0</v>
      </c>
      <c r="I31" s="163">
        <f t="shared" si="1"/>
        <v>4.714285714</v>
      </c>
      <c r="J31" s="164">
        <f t="shared" si="2"/>
        <v>0.4879500365</v>
      </c>
      <c r="K31" s="165"/>
    </row>
    <row r="32">
      <c r="A32" s="159">
        <v>31.0</v>
      </c>
      <c r="B32" s="22">
        <v>4.0</v>
      </c>
      <c r="C32" s="22">
        <v>5.0</v>
      </c>
      <c r="D32" s="22">
        <v>5.0</v>
      </c>
      <c r="E32" s="22">
        <v>4.0</v>
      </c>
      <c r="F32" s="22">
        <v>5.0</v>
      </c>
      <c r="G32" s="22">
        <v>4.0</v>
      </c>
      <c r="H32" s="22">
        <v>5.0</v>
      </c>
      <c r="I32" s="163">
        <f t="shared" si="1"/>
        <v>4.571428571</v>
      </c>
      <c r="J32" s="164">
        <f t="shared" si="2"/>
        <v>0.5345224838</v>
      </c>
      <c r="K32" s="165"/>
    </row>
    <row r="33">
      <c r="A33" s="159">
        <v>32.0</v>
      </c>
      <c r="B33" s="22">
        <v>5.0</v>
      </c>
      <c r="C33" s="22">
        <v>5.0</v>
      </c>
      <c r="D33" s="22">
        <v>4.0</v>
      </c>
      <c r="E33" s="22">
        <v>4.0</v>
      </c>
      <c r="F33" s="22">
        <v>4.0</v>
      </c>
      <c r="G33" s="22">
        <v>5.0</v>
      </c>
      <c r="H33" s="22">
        <v>5.0</v>
      </c>
      <c r="I33" s="163">
        <f t="shared" si="1"/>
        <v>4.571428571</v>
      </c>
      <c r="J33" s="164">
        <f t="shared" si="2"/>
        <v>0.5345224838</v>
      </c>
      <c r="K33" s="165"/>
    </row>
    <row r="34">
      <c r="A34" s="159">
        <v>33.0</v>
      </c>
      <c r="B34" s="22">
        <v>4.0</v>
      </c>
      <c r="C34" s="22">
        <v>5.0</v>
      </c>
      <c r="D34" s="22">
        <v>4.0</v>
      </c>
      <c r="E34" s="22">
        <v>5.0</v>
      </c>
      <c r="F34" s="22">
        <v>4.0</v>
      </c>
      <c r="G34" s="22">
        <v>5.0</v>
      </c>
      <c r="H34" s="22">
        <v>4.0</v>
      </c>
      <c r="I34" s="163">
        <f t="shared" si="1"/>
        <v>4.428571429</v>
      </c>
      <c r="J34" s="164">
        <f t="shared" si="2"/>
        <v>0.5345224838</v>
      </c>
      <c r="K34" s="165"/>
    </row>
    <row r="35">
      <c r="A35" s="159">
        <v>34.0</v>
      </c>
      <c r="B35" s="22">
        <v>5.0</v>
      </c>
      <c r="C35" s="22">
        <v>5.0</v>
      </c>
      <c r="D35" s="22">
        <v>5.0</v>
      </c>
      <c r="E35" s="22">
        <v>5.0</v>
      </c>
      <c r="F35" s="22">
        <v>4.0</v>
      </c>
      <c r="G35" s="22">
        <v>5.0</v>
      </c>
      <c r="H35" s="22">
        <v>5.0</v>
      </c>
      <c r="I35" s="163">
        <f t="shared" si="1"/>
        <v>4.857142857</v>
      </c>
      <c r="J35" s="164">
        <f t="shared" si="2"/>
        <v>0.377964473</v>
      </c>
      <c r="K35" s="165"/>
    </row>
    <row r="36">
      <c r="A36" s="159">
        <v>35.0</v>
      </c>
      <c r="B36" s="22">
        <v>5.0</v>
      </c>
      <c r="C36" s="22">
        <v>5.0</v>
      </c>
      <c r="D36" s="22">
        <v>5.0</v>
      </c>
      <c r="E36" s="22">
        <v>4.0</v>
      </c>
      <c r="F36" s="22">
        <v>4.0</v>
      </c>
      <c r="G36" s="22">
        <v>5.0</v>
      </c>
      <c r="H36" s="22">
        <v>5.0</v>
      </c>
      <c r="I36" s="163">
        <f t="shared" si="1"/>
        <v>4.714285714</v>
      </c>
      <c r="J36" s="164">
        <f t="shared" si="2"/>
        <v>0.4879500365</v>
      </c>
      <c r="K36" s="165"/>
    </row>
    <row r="37">
      <c r="A37" s="159">
        <v>36.0</v>
      </c>
      <c r="B37" s="22">
        <v>5.0</v>
      </c>
      <c r="C37" s="22">
        <v>4.0</v>
      </c>
      <c r="D37" s="22">
        <v>5.0</v>
      </c>
      <c r="E37" s="22">
        <v>5.0</v>
      </c>
      <c r="F37" s="22">
        <v>5.0</v>
      </c>
      <c r="G37" s="22">
        <v>5.0</v>
      </c>
      <c r="H37" s="22">
        <v>5.0</v>
      </c>
      <c r="I37" s="163">
        <f t="shared" si="1"/>
        <v>4.857142857</v>
      </c>
      <c r="J37" s="164">
        <f t="shared" si="2"/>
        <v>0.377964473</v>
      </c>
      <c r="K37" s="165"/>
    </row>
    <row r="38">
      <c r="A38" s="159">
        <v>37.0</v>
      </c>
      <c r="B38" s="22">
        <v>5.0</v>
      </c>
      <c r="C38" s="22">
        <v>4.0</v>
      </c>
      <c r="D38" s="22">
        <v>5.0</v>
      </c>
      <c r="E38" s="22">
        <v>4.0</v>
      </c>
      <c r="F38" s="22">
        <v>5.0</v>
      </c>
      <c r="G38" s="22">
        <v>4.0</v>
      </c>
      <c r="H38" s="22">
        <v>5.0</v>
      </c>
      <c r="I38" s="163">
        <f t="shared" si="1"/>
        <v>4.571428571</v>
      </c>
      <c r="J38" s="164">
        <f t="shared" si="2"/>
        <v>0.5345224838</v>
      </c>
      <c r="K38" s="165"/>
    </row>
    <row r="39">
      <c r="A39" s="159">
        <v>38.0</v>
      </c>
      <c r="B39" s="22">
        <v>5.0</v>
      </c>
      <c r="C39" s="22">
        <v>4.0</v>
      </c>
      <c r="D39" s="22">
        <v>5.0</v>
      </c>
      <c r="E39" s="22">
        <v>4.0</v>
      </c>
      <c r="F39" s="22">
        <v>5.0</v>
      </c>
      <c r="G39" s="22">
        <v>4.0</v>
      </c>
      <c r="H39" s="22">
        <v>4.0</v>
      </c>
      <c r="I39" s="163">
        <f t="shared" si="1"/>
        <v>4.428571429</v>
      </c>
      <c r="J39" s="164">
        <f t="shared" si="2"/>
        <v>0.5345224838</v>
      </c>
      <c r="K39" s="165"/>
    </row>
    <row r="40">
      <c r="A40" s="159">
        <v>39.0</v>
      </c>
      <c r="B40" s="22">
        <v>4.0</v>
      </c>
      <c r="C40" s="22">
        <v>5.0</v>
      </c>
      <c r="D40" s="22">
        <v>4.0</v>
      </c>
      <c r="E40" s="22">
        <v>5.0</v>
      </c>
      <c r="F40" s="22">
        <v>4.0</v>
      </c>
      <c r="G40" s="22">
        <v>4.0</v>
      </c>
      <c r="H40" s="22">
        <v>4.0</v>
      </c>
      <c r="I40" s="163">
        <f t="shared" si="1"/>
        <v>4.285714286</v>
      </c>
      <c r="J40" s="164">
        <f t="shared" si="2"/>
        <v>0.4879500365</v>
      </c>
      <c r="K40" s="165"/>
    </row>
    <row r="41">
      <c r="A41" s="159">
        <v>40.0</v>
      </c>
      <c r="B41" s="22">
        <v>4.0</v>
      </c>
      <c r="C41" s="22">
        <v>5.0</v>
      </c>
      <c r="D41" s="22">
        <v>5.0</v>
      </c>
      <c r="E41" s="22">
        <v>4.0</v>
      </c>
      <c r="F41" s="22">
        <v>5.0</v>
      </c>
      <c r="G41" s="22">
        <v>4.0</v>
      </c>
      <c r="H41" s="22">
        <v>4.0</v>
      </c>
      <c r="I41" s="163">
        <f t="shared" si="1"/>
        <v>4.428571429</v>
      </c>
      <c r="J41" s="164">
        <f t="shared" si="2"/>
        <v>0.5345224838</v>
      </c>
      <c r="K41" s="165"/>
    </row>
    <row r="42">
      <c r="A42" s="159">
        <v>41.0</v>
      </c>
      <c r="B42" s="22">
        <v>5.0</v>
      </c>
      <c r="C42" s="22">
        <v>5.0</v>
      </c>
      <c r="D42" s="22">
        <v>5.0</v>
      </c>
      <c r="E42" s="22">
        <v>5.0</v>
      </c>
      <c r="F42" s="22">
        <v>5.0</v>
      </c>
      <c r="G42" s="22">
        <v>5.0</v>
      </c>
      <c r="H42" s="22">
        <v>5.0</v>
      </c>
      <c r="I42" s="163">
        <f t="shared" si="1"/>
        <v>5</v>
      </c>
      <c r="J42" s="164">
        <f t="shared" si="2"/>
        <v>0</v>
      </c>
      <c r="K42" s="165"/>
    </row>
    <row r="43">
      <c r="A43" s="159">
        <v>42.0</v>
      </c>
      <c r="B43" s="22">
        <v>4.0</v>
      </c>
      <c r="C43" s="22">
        <v>5.0</v>
      </c>
      <c r="D43" s="22">
        <v>5.0</v>
      </c>
      <c r="E43" s="22">
        <v>4.0</v>
      </c>
      <c r="F43" s="22">
        <v>5.0</v>
      </c>
      <c r="G43" s="22">
        <v>4.0</v>
      </c>
      <c r="H43" s="22">
        <v>5.0</v>
      </c>
      <c r="I43" s="163">
        <f t="shared" si="1"/>
        <v>4.571428571</v>
      </c>
      <c r="J43" s="164">
        <f t="shared" si="2"/>
        <v>0.5345224838</v>
      </c>
      <c r="K43" s="165"/>
    </row>
    <row r="44">
      <c r="A44" s="159">
        <v>43.0</v>
      </c>
      <c r="B44" s="22">
        <v>5.0</v>
      </c>
      <c r="C44" s="22">
        <v>4.0</v>
      </c>
      <c r="D44" s="22">
        <v>5.0</v>
      </c>
      <c r="E44" s="22">
        <v>4.0</v>
      </c>
      <c r="F44" s="22">
        <v>5.0</v>
      </c>
      <c r="G44" s="22">
        <v>4.0</v>
      </c>
      <c r="H44" s="22">
        <v>5.0</v>
      </c>
      <c r="I44" s="163">
        <f t="shared" si="1"/>
        <v>4.571428571</v>
      </c>
      <c r="J44" s="164">
        <f t="shared" si="2"/>
        <v>0.5345224838</v>
      </c>
      <c r="K44" s="165"/>
    </row>
    <row r="45">
      <c r="A45" s="159">
        <v>44.0</v>
      </c>
      <c r="B45" s="22">
        <v>5.0</v>
      </c>
      <c r="C45" s="22">
        <v>5.0</v>
      </c>
      <c r="D45" s="22">
        <v>4.0</v>
      </c>
      <c r="E45" s="22">
        <v>4.0</v>
      </c>
      <c r="F45" s="22">
        <v>5.0</v>
      </c>
      <c r="G45" s="22">
        <v>4.0</v>
      </c>
      <c r="H45" s="22">
        <v>5.0</v>
      </c>
      <c r="I45" s="163">
        <f t="shared" si="1"/>
        <v>4.571428571</v>
      </c>
      <c r="J45" s="164">
        <f t="shared" si="2"/>
        <v>0.5345224838</v>
      </c>
      <c r="K45" s="165"/>
    </row>
    <row r="46">
      <c r="A46" s="159">
        <v>45.0</v>
      </c>
      <c r="B46" s="22">
        <v>4.0</v>
      </c>
      <c r="C46" s="22">
        <v>5.0</v>
      </c>
      <c r="D46" s="22">
        <v>4.0</v>
      </c>
      <c r="E46" s="22">
        <v>5.0</v>
      </c>
      <c r="F46" s="22">
        <v>4.0</v>
      </c>
      <c r="G46" s="22">
        <v>5.0</v>
      </c>
      <c r="H46" s="22">
        <v>4.0</v>
      </c>
      <c r="I46" s="163">
        <f t="shared" si="1"/>
        <v>4.428571429</v>
      </c>
      <c r="J46" s="164">
        <f t="shared" si="2"/>
        <v>0.5345224838</v>
      </c>
      <c r="K46" s="165"/>
    </row>
    <row r="47">
      <c r="A47" s="159">
        <v>46.0</v>
      </c>
      <c r="B47" s="22">
        <v>5.0</v>
      </c>
      <c r="C47" s="22">
        <v>5.0</v>
      </c>
      <c r="D47" s="22">
        <v>5.0</v>
      </c>
      <c r="E47" s="22">
        <v>4.0</v>
      </c>
      <c r="F47" s="22">
        <v>4.0</v>
      </c>
      <c r="G47" s="22">
        <v>4.0</v>
      </c>
      <c r="H47" s="22">
        <v>5.0</v>
      </c>
      <c r="I47" s="163">
        <f t="shared" si="1"/>
        <v>4.571428571</v>
      </c>
      <c r="J47" s="164">
        <f t="shared" si="2"/>
        <v>0.5345224838</v>
      </c>
      <c r="K47" s="165"/>
    </row>
    <row r="48">
      <c r="A48" s="159">
        <v>47.0</v>
      </c>
      <c r="B48" s="22">
        <v>5.0</v>
      </c>
      <c r="C48" s="22">
        <v>5.0</v>
      </c>
      <c r="D48" s="22">
        <v>4.0</v>
      </c>
      <c r="E48" s="22">
        <v>4.0</v>
      </c>
      <c r="F48" s="22">
        <v>5.0</v>
      </c>
      <c r="G48" s="22">
        <v>4.0</v>
      </c>
      <c r="H48" s="22">
        <v>5.0</v>
      </c>
      <c r="I48" s="163">
        <f t="shared" si="1"/>
        <v>4.571428571</v>
      </c>
      <c r="J48" s="164">
        <f t="shared" si="2"/>
        <v>0.5345224838</v>
      </c>
      <c r="K48" s="165"/>
    </row>
    <row r="49">
      <c r="A49" s="159">
        <v>48.0</v>
      </c>
      <c r="B49" s="22">
        <v>5.0</v>
      </c>
      <c r="C49" s="22">
        <v>5.0</v>
      </c>
      <c r="D49" s="22">
        <v>4.0</v>
      </c>
      <c r="E49" s="22">
        <v>3.0</v>
      </c>
      <c r="F49" s="22">
        <v>4.0</v>
      </c>
      <c r="G49" s="22">
        <v>4.0</v>
      </c>
      <c r="H49" s="22">
        <v>5.0</v>
      </c>
      <c r="I49" s="163">
        <f t="shared" si="1"/>
        <v>4.285714286</v>
      </c>
      <c r="J49" s="164">
        <f t="shared" si="2"/>
        <v>0.755928946</v>
      </c>
      <c r="K49" s="165"/>
    </row>
    <row r="50">
      <c r="A50" s="159">
        <v>49.0</v>
      </c>
      <c r="B50" s="22">
        <v>5.0</v>
      </c>
      <c r="C50" s="22">
        <v>5.0</v>
      </c>
      <c r="D50" s="22">
        <v>4.0</v>
      </c>
      <c r="E50" s="22">
        <v>5.0</v>
      </c>
      <c r="F50" s="22">
        <v>5.0</v>
      </c>
      <c r="G50" s="22">
        <v>5.0</v>
      </c>
      <c r="H50" s="22">
        <v>4.0</v>
      </c>
      <c r="I50" s="163">
        <f t="shared" si="1"/>
        <v>4.714285714</v>
      </c>
      <c r="J50" s="164">
        <f t="shared" si="2"/>
        <v>0.4879500365</v>
      </c>
      <c r="K50" s="165"/>
    </row>
    <row r="51">
      <c r="A51" s="159">
        <v>50.0</v>
      </c>
      <c r="B51" s="22">
        <v>5.0</v>
      </c>
      <c r="C51" s="22">
        <v>4.0</v>
      </c>
      <c r="D51" s="22">
        <v>5.0</v>
      </c>
      <c r="E51" s="22">
        <v>5.0</v>
      </c>
      <c r="F51" s="22">
        <v>4.0</v>
      </c>
      <c r="G51" s="22">
        <v>5.0</v>
      </c>
      <c r="H51" s="22">
        <v>4.0</v>
      </c>
      <c r="I51" s="163">
        <f t="shared" si="1"/>
        <v>4.571428571</v>
      </c>
      <c r="J51" s="164">
        <f t="shared" si="2"/>
        <v>0.5345224838</v>
      </c>
      <c r="K51" s="165"/>
    </row>
    <row r="52">
      <c r="A52" s="159">
        <v>51.0</v>
      </c>
      <c r="B52" s="22">
        <v>4.0</v>
      </c>
      <c r="C52" s="22">
        <v>5.0</v>
      </c>
      <c r="D52" s="22">
        <v>4.0</v>
      </c>
      <c r="E52" s="22">
        <v>4.0</v>
      </c>
      <c r="F52" s="22">
        <v>4.0</v>
      </c>
      <c r="G52" s="22">
        <v>5.0</v>
      </c>
      <c r="H52" s="22">
        <v>4.0</v>
      </c>
      <c r="I52" s="163">
        <f t="shared" si="1"/>
        <v>4.285714286</v>
      </c>
      <c r="J52" s="164">
        <f t="shared" si="2"/>
        <v>0.4879500365</v>
      </c>
      <c r="K52" s="165"/>
    </row>
    <row r="53">
      <c r="A53" s="159">
        <v>52.0</v>
      </c>
      <c r="B53" s="22">
        <v>5.0</v>
      </c>
      <c r="C53" s="22">
        <v>5.0</v>
      </c>
      <c r="D53" s="22">
        <v>4.0</v>
      </c>
      <c r="E53" s="22">
        <v>5.0</v>
      </c>
      <c r="F53" s="22">
        <v>4.0</v>
      </c>
      <c r="G53" s="22">
        <v>5.0</v>
      </c>
      <c r="H53" s="22">
        <v>5.0</v>
      </c>
      <c r="I53" s="163">
        <f t="shared" si="1"/>
        <v>4.714285714</v>
      </c>
      <c r="J53" s="164">
        <f t="shared" si="2"/>
        <v>0.4879500365</v>
      </c>
      <c r="K53" s="165"/>
    </row>
    <row r="54">
      <c r="A54" s="159">
        <v>53.0</v>
      </c>
      <c r="B54" s="22">
        <v>4.0</v>
      </c>
      <c r="C54" s="22">
        <v>5.0</v>
      </c>
      <c r="D54" s="22">
        <v>4.0</v>
      </c>
      <c r="E54" s="22">
        <v>4.0</v>
      </c>
      <c r="F54" s="22">
        <v>5.0</v>
      </c>
      <c r="G54" s="22">
        <v>4.0</v>
      </c>
      <c r="H54" s="22">
        <v>4.0</v>
      </c>
      <c r="I54" s="163">
        <f t="shared" si="1"/>
        <v>4.285714286</v>
      </c>
      <c r="J54" s="164">
        <f t="shared" si="2"/>
        <v>0.4879500365</v>
      </c>
      <c r="K54" s="165"/>
    </row>
    <row r="55">
      <c r="A55" s="159">
        <v>54.0</v>
      </c>
      <c r="B55" s="22">
        <v>4.0</v>
      </c>
      <c r="C55" s="22">
        <v>5.0</v>
      </c>
      <c r="D55" s="22">
        <v>4.0</v>
      </c>
      <c r="E55" s="22">
        <v>4.0</v>
      </c>
      <c r="F55" s="22">
        <v>5.0</v>
      </c>
      <c r="G55" s="22">
        <v>4.0</v>
      </c>
      <c r="H55" s="22">
        <v>4.0</v>
      </c>
      <c r="I55" s="163">
        <f t="shared" si="1"/>
        <v>4.285714286</v>
      </c>
      <c r="J55" s="164">
        <f t="shared" si="2"/>
        <v>0.4879500365</v>
      </c>
      <c r="K55" s="165"/>
    </row>
    <row r="56">
      <c r="A56" s="159">
        <v>55.0</v>
      </c>
      <c r="B56" s="22">
        <v>3.0</v>
      </c>
      <c r="C56" s="22">
        <v>5.0</v>
      </c>
      <c r="D56" s="22">
        <v>3.0</v>
      </c>
      <c r="E56" s="22">
        <v>4.0</v>
      </c>
      <c r="F56" s="22">
        <v>4.0</v>
      </c>
      <c r="G56" s="22">
        <v>5.0</v>
      </c>
      <c r="H56" s="22">
        <v>4.0</v>
      </c>
      <c r="I56" s="163">
        <f t="shared" si="1"/>
        <v>4</v>
      </c>
      <c r="J56" s="164">
        <f t="shared" si="2"/>
        <v>0.8164965809</v>
      </c>
      <c r="K56" s="165"/>
    </row>
    <row r="57">
      <c r="A57" s="159">
        <v>56.0</v>
      </c>
      <c r="B57" s="22">
        <v>4.0</v>
      </c>
      <c r="C57" s="22">
        <v>4.0</v>
      </c>
      <c r="D57" s="22">
        <v>3.0</v>
      </c>
      <c r="E57" s="22">
        <v>3.0</v>
      </c>
      <c r="F57" s="22">
        <v>4.0</v>
      </c>
      <c r="G57" s="22">
        <v>5.0</v>
      </c>
      <c r="H57" s="22">
        <v>4.0</v>
      </c>
      <c r="I57" s="163">
        <f t="shared" si="1"/>
        <v>3.857142857</v>
      </c>
      <c r="J57" s="164">
        <f t="shared" si="2"/>
        <v>0.6900655593</v>
      </c>
      <c r="K57" s="165"/>
    </row>
    <row r="58">
      <c r="A58" s="159">
        <v>57.0</v>
      </c>
      <c r="B58" s="22">
        <v>3.0</v>
      </c>
      <c r="C58" s="22">
        <v>4.0</v>
      </c>
      <c r="D58" s="22">
        <v>4.0</v>
      </c>
      <c r="E58" s="22">
        <v>5.0</v>
      </c>
      <c r="F58" s="22">
        <v>3.0</v>
      </c>
      <c r="G58" s="22">
        <v>4.0</v>
      </c>
      <c r="H58" s="22">
        <v>4.0</v>
      </c>
      <c r="I58" s="163">
        <f t="shared" si="1"/>
        <v>3.857142857</v>
      </c>
      <c r="J58" s="164">
        <f t="shared" si="2"/>
        <v>0.6900655593</v>
      </c>
      <c r="K58" s="165"/>
    </row>
    <row r="59">
      <c r="A59" s="159">
        <v>57.0</v>
      </c>
      <c r="B59" s="22">
        <v>3.0</v>
      </c>
      <c r="C59" s="22">
        <v>4.0</v>
      </c>
      <c r="D59" s="22">
        <v>4.0</v>
      </c>
      <c r="E59" s="22">
        <v>5.0</v>
      </c>
      <c r="F59" s="22">
        <v>3.0</v>
      </c>
      <c r="G59" s="22">
        <v>4.0</v>
      </c>
      <c r="H59" s="22">
        <v>4.0</v>
      </c>
      <c r="I59" s="163">
        <f t="shared" si="1"/>
        <v>3.857142857</v>
      </c>
      <c r="J59" s="164">
        <f t="shared" si="2"/>
        <v>0.6900655593</v>
      </c>
      <c r="K59" s="165"/>
    </row>
    <row r="60">
      <c r="A60" s="159">
        <v>59.0</v>
      </c>
      <c r="B60" s="22">
        <v>3.0</v>
      </c>
      <c r="C60" s="22">
        <v>5.0</v>
      </c>
      <c r="D60" s="22">
        <v>4.0</v>
      </c>
      <c r="E60" s="22">
        <v>4.0</v>
      </c>
      <c r="F60" s="22">
        <v>4.0</v>
      </c>
      <c r="G60" s="22">
        <v>4.0</v>
      </c>
      <c r="H60" s="22">
        <v>5.0</v>
      </c>
      <c r="I60" s="163">
        <f t="shared" si="1"/>
        <v>4.142857143</v>
      </c>
      <c r="J60" s="164">
        <f t="shared" si="2"/>
        <v>0.6900655593</v>
      </c>
      <c r="K60" s="165"/>
    </row>
    <row r="61">
      <c r="A61" s="159">
        <v>60.0</v>
      </c>
      <c r="B61" s="22">
        <v>5.0</v>
      </c>
      <c r="C61" s="22">
        <v>5.0</v>
      </c>
      <c r="D61" s="22">
        <v>4.0</v>
      </c>
      <c r="E61" s="22">
        <v>5.0</v>
      </c>
      <c r="F61" s="22">
        <v>4.0</v>
      </c>
      <c r="G61" s="22">
        <v>5.0</v>
      </c>
      <c r="H61" s="22">
        <v>5.0</v>
      </c>
      <c r="I61" s="163">
        <f t="shared" si="1"/>
        <v>4.714285714</v>
      </c>
      <c r="J61" s="164">
        <f t="shared" si="2"/>
        <v>0.4879500365</v>
      </c>
      <c r="K61" s="165"/>
    </row>
    <row r="62">
      <c r="A62" s="159">
        <v>61.0</v>
      </c>
      <c r="B62" s="22">
        <v>3.0</v>
      </c>
      <c r="C62" s="22">
        <v>3.0</v>
      </c>
      <c r="D62" s="22">
        <v>4.0</v>
      </c>
      <c r="E62" s="22">
        <v>5.0</v>
      </c>
      <c r="F62" s="22">
        <v>3.0</v>
      </c>
      <c r="G62" s="22">
        <v>5.0</v>
      </c>
      <c r="H62" s="22">
        <v>5.0</v>
      </c>
      <c r="I62" s="163">
        <f t="shared" si="1"/>
        <v>4</v>
      </c>
      <c r="J62" s="164">
        <f t="shared" si="2"/>
        <v>1</v>
      </c>
      <c r="K62" s="165"/>
    </row>
    <row r="63">
      <c r="A63" s="159">
        <v>62.0</v>
      </c>
      <c r="B63" s="22">
        <v>3.0</v>
      </c>
      <c r="C63" s="22">
        <v>4.0</v>
      </c>
      <c r="D63" s="22">
        <v>3.0</v>
      </c>
      <c r="E63" s="22">
        <v>5.0</v>
      </c>
      <c r="F63" s="22">
        <v>3.0</v>
      </c>
      <c r="G63" s="22">
        <v>5.0</v>
      </c>
      <c r="H63" s="22">
        <v>5.0</v>
      </c>
      <c r="I63" s="163">
        <f t="shared" si="1"/>
        <v>4</v>
      </c>
      <c r="J63" s="164">
        <f t="shared" si="2"/>
        <v>1</v>
      </c>
      <c r="K63" s="165"/>
    </row>
    <row r="64">
      <c r="A64" s="159">
        <v>63.0</v>
      </c>
      <c r="B64" s="22">
        <v>4.0</v>
      </c>
      <c r="C64" s="22">
        <v>4.0</v>
      </c>
      <c r="D64" s="22">
        <v>3.0</v>
      </c>
      <c r="E64" s="22">
        <v>5.0</v>
      </c>
      <c r="F64" s="22">
        <v>3.0</v>
      </c>
      <c r="G64" s="22">
        <v>4.0</v>
      </c>
      <c r="H64" s="22">
        <v>5.0</v>
      </c>
      <c r="I64" s="163">
        <f t="shared" si="1"/>
        <v>4</v>
      </c>
      <c r="J64" s="164">
        <f t="shared" si="2"/>
        <v>0.8164965809</v>
      </c>
      <c r="K64" s="165"/>
    </row>
    <row r="65">
      <c r="A65" s="159">
        <v>64.0</v>
      </c>
      <c r="B65" s="22">
        <v>3.0</v>
      </c>
      <c r="C65" s="22">
        <v>4.0</v>
      </c>
      <c r="D65" s="22">
        <v>4.0</v>
      </c>
      <c r="E65" s="22">
        <v>3.0</v>
      </c>
      <c r="F65" s="22">
        <v>5.0</v>
      </c>
      <c r="G65" s="22">
        <v>5.0</v>
      </c>
      <c r="H65" s="22">
        <v>4.0</v>
      </c>
      <c r="I65" s="163">
        <f t="shared" si="1"/>
        <v>4</v>
      </c>
      <c r="J65" s="164">
        <f t="shared" si="2"/>
        <v>0.8164965809</v>
      </c>
      <c r="K65" s="165"/>
    </row>
    <row r="66">
      <c r="A66" s="159">
        <v>65.0</v>
      </c>
      <c r="B66" s="22">
        <v>3.0</v>
      </c>
      <c r="C66" s="22">
        <v>4.0</v>
      </c>
      <c r="D66" s="22">
        <v>4.0</v>
      </c>
      <c r="E66" s="22">
        <v>3.0</v>
      </c>
      <c r="F66" s="22">
        <v>5.0</v>
      </c>
      <c r="G66" s="22">
        <v>5.0</v>
      </c>
      <c r="H66" s="22">
        <v>4.0</v>
      </c>
      <c r="I66" s="163">
        <f t="shared" si="1"/>
        <v>4</v>
      </c>
      <c r="J66" s="164">
        <f t="shared" si="2"/>
        <v>0.8164965809</v>
      </c>
      <c r="K66" s="165"/>
    </row>
    <row r="67">
      <c r="A67" s="159">
        <v>66.0</v>
      </c>
      <c r="B67" s="22">
        <v>3.0</v>
      </c>
      <c r="C67" s="22">
        <v>4.0</v>
      </c>
      <c r="D67" s="22">
        <v>3.0</v>
      </c>
      <c r="E67" s="22">
        <v>4.0</v>
      </c>
      <c r="F67" s="22">
        <v>5.0</v>
      </c>
      <c r="G67" s="22">
        <v>3.0</v>
      </c>
      <c r="H67" s="22">
        <v>4.0</v>
      </c>
      <c r="I67" s="163">
        <f t="shared" si="1"/>
        <v>3.714285714</v>
      </c>
      <c r="J67" s="164">
        <f t="shared" si="2"/>
        <v>0.755928946</v>
      </c>
      <c r="K67" s="165">
        <f>STDEV(B2:H81)</f>
        <v>0.7037920725</v>
      </c>
    </row>
    <row r="68">
      <c r="A68" s="159">
        <v>67.0</v>
      </c>
      <c r="B68" s="22">
        <v>4.0</v>
      </c>
      <c r="C68" s="22">
        <v>4.0</v>
      </c>
      <c r="D68" s="22">
        <v>3.0</v>
      </c>
      <c r="E68" s="22">
        <v>5.0</v>
      </c>
      <c r="F68" s="22">
        <v>3.0</v>
      </c>
      <c r="G68" s="22">
        <v>4.0</v>
      </c>
      <c r="H68" s="22">
        <v>4.0</v>
      </c>
      <c r="I68" s="163">
        <f t="shared" si="1"/>
        <v>3.857142857</v>
      </c>
      <c r="J68" s="164">
        <f t="shared" si="2"/>
        <v>0.6900655593</v>
      </c>
      <c r="K68" s="165"/>
    </row>
    <row r="69">
      <c r="A69" s="159">
        <v>68.0</v>
      </c>
      <c r="B69" s="22">
        <v>4.0</v>
      </c>
      <c r="C69" s="22">
        <v>4.0</v>
      </c>
      <c r="D69" s="22">
        <v>3.0</v>
      </c>
      <c r="E69" s="22">
        <v>5.0</v>
      </c>
      <c r="F69" s="22">
        <v>5.0</v>
      </c>
      <c r="G69" s="22">
        <v>4.0</v>
      </c>
      <c r="H69" s="22">
        <v>4.0</v>
      </c>
      <c r="I69" s="163">
        <f t="shared" si="1"/>
        <v>4.142857143</v>
      </c>
      <c r="J69" s="164">
        <f t="shared" si="2"/>
        <v>0.6900655593</v>
      </c>
      <c r="K69" s="165"/>
    </row>
    <row r="70">
      <c r="A70" s="159">
        <v>69.0</v>
      </c>
      <c r="B70" s="22">
        <v>3.0</v>
      </c>
      <c r="C70" s="22">
        <v>3.0</v>
      </c>
      <c r="D70" s="22">
        <v>4.0</v>
      </c>
      <c r="E70" s="22">
        <v>3.0</v>
      </c>
      <c r="F70" s="22">
        <v>5.0</v>
      </c>
      <c r="G70" s="22">
        <v>5.0</v>
      </c>
      <c r="H70" s="22">
        <v>3.0</v>
      </c>
      <c r="I70" s="163">
        <f t="shared" si="1"/>
        <v>3.714285714</v>
      </c>
      <c r="J70" s="164">
        <f t="shared" si="2"/>
        <v>0.9511897312</v>
      </c>
      <c r="K70" s="165"/>
    </row>
    <row r="71">
      <c r="A71" s="159">
        <v>70.0</v>
      </c>
      <c r="B71" s="22">
        <v>4.0</v>
      </c>
      <c r="C71" s="22">
        <v>4.0</v>
      </c>
      <c r="D71" s="22">
        <v>3.0</v>
      </c>
      <c r="E71" s="22">
        <v>5.0</v>
      </c>
      <c r="F71" s="22">
        <v>5.0</v>
      </c>
      <c r="G71" s="22">
        <v>3.0</v>
      </c>
      <c r="H71" s="22">
        <v>4.0</v>
      </c>
      <c r="I71" s="163">
        <f t="shared" si="1"/>
        <v>4</v>
      </c>
      <c r="J71" s="164">
        <f t="shared" si="2"/>
        <v>0.8164965809</v>
      </c>
      <c r="K71" s="165"/>
    </row>
    <row r="72">
      <c r="A72" s="159">
        <v>71.0</v>
      </c>
      <c r="B72" s="22">
        <v>5.0</v>
      </c>
      <c r="C72" s="22">
        <v>4.0</v>
      </c>
      <c r="D72" s="22">
        <v>5.0</v>
      </c>
      <c r="E72" s="22">
        <v>5.0</v>
      </c>
      <c r="F72" s="22">
        <v>3.0</v>
      </c>
      <c r="G72" s="22">
        <v>5.0</v>
      </c>
      <c r="H72" s="22">
        <v>4.0</v>
      </c>
      <c r="I72" s="163">
        <f t="shared" si="1"/>
        <v>4.428571429</v>
      </c>
      <c r="J72" s="164">
        <f t="shared" si="2"/>
        <v>0.7867957925</v>
      </c>
      <c r="K72" s="165"/>
    </row>
    <row r="73">
      <c r="A73" s="159">
        <v>72.0</v>
      </c>
      <c r="B73" s="22">
        <v>3.0</v>
      </c>
      <c r="C73" s="22">
        <v>4.0</v>
      </c>
      <c r="D73" s="22">
        <v>3.0</v>
      </c>
      <c r="E73" s="22">
        <v>4.0</v>
      </c>
      <c r="F73" s="22">
        <v>4.0</v>
      </c>
      <c r="G73" s="22">
        <v>5.0</v>
      </c>
      <c r="H73" s="22">
        <v>4.0</v>
      </c>
      <c r="I73" s="163">
        <f t="shared" si="1"/>
        <v>3.857142857</v>
      </c>
      <c r="J73" s="164">
        <f t="shared" si="2"/>
        <v>0.6900655593</v>
      </c>
      <c r="K73" s="165"/>
    </row>
    <row r="74">
      <c r="A74" s="159">
        <v>73.0</v>
      </c>
      <c r="B74" s="22">
        <v>4.0</v>
      </c>
      <c r="C74" s="22">
        <v>3.0</v>
      </c>
      <c r="D74" s="22">
        <v>5.0</v>
      </c>
      <c r="E74" s="22">
        <v>4.0</v>
      </c>
      <c r="F74" s="22">
        <v>3.0</v>
      </c>
      <c r="G74" s="22">
        <v>4.0</v>
      </c>
      <c r="H74" s="22">
        <v>4.0</v>
      </c>
      <c r="I74" s="163">
        <f t="shared" si="1"/>
        <v>3.857142857</v>
      </c>
      <c r="J74" s="164">
        <f t="shared" si="2"/>
        <v>0.6900655593</v>
      </c>
      <c r="K74" s="165"/>
    </row>
    <row r="75">
      <c r="A75" s="159">
        <v>74.0</v>
      </c>
      <c r="B75" s="22">
        <v>4.0</v>
      </c>
      <c r="C75" s="22">
        <v>3.0</v>
      </c>
      <c r="D75" s="22">
        <v>3.0</v>
      </c>
      <c r="E75" s="22">
        <v>5.0</v>
      </c>
      <c r="F75" s="22">
        <v>4.0</v>
      </c>
      <c r="G75" s="22">
        <v>5.0</v>
      </c>
      <c r="H75" s="22">
        <v>5.0</v>
      </c>
      <c r="I75" s="163">
        <f t="shared" si="1"/>
        <v>4.142857143</v>
      </c>
      <c r="J75" s="164">
        <f t="shared" si="2"/>
        <v>0.8997354108</v>
      </c>
      <c r="K75" s="165"/>
    </row>
    <row r="76">
      <c r="A76" s="159">
        <v>75.0</v>
      </c>
      <c r="B76" s="22">
        <v>3.0</v>
      </c>
      <c r="C76" s="22">
        <v>3.0</v>
      </c>
      <c r="D76" s="22">
        <v>4.0</v>
      </c>
      <c r="E76" s="22">
        <v>3.0</v>
      </c>
      <c r="F76" s="22">
        <v>5.0</v>
      </c>
      <c r="G76" s="22">
        <v>3.0</v>
      </c>
      <c r="H76" s="22">
        <v>4.0</v>
      </c>
      <c r="I76" s="163">
        <f t="shared" si="1"/>
        <v>3.571428571</v>
      </c>
      <c r="J76" s="164">
        <f t="shared" si="2"/>
        <v>0.7867957925</v>
      </c>
      <c r="K76" s="165"/>
    </row>
    <row r="77">
      <c r="A77" s="159">
        <v>76.0</v>
      </c>
      <c r="B77" s="22">
        <v>3.0</v>
      </c>
      <c r="C77" s="22">
        <v>4.0</v>
      </c>
      <c r="D77" s="22">
        <v>5.0</v>
      </c>
      <c r="E77" s="22">
        <v>3.0</v>
      </c>
      <c r="F77" s="22">
        <v>5.0</v>
      </c>
      <c r="G77" s="22">
        <v>4.0</v>
      </c>
      <c r="H77" s="22">
        <v>4.0</v>
      </c>
      <c r="I77" s="163">
        <f t="shared" si="1"/>
        <v>4</v>
      </c>
      <c r="J77" s="164">
        <f t="shared" si="2"/>
        <v>0.8164965809</v>
      </c>
      <c r="K77" s="165"/>
    </row>
    <row r="78">
      <c r="A78" s="159">
        <v>77.0</v>
      </c>
      <c r="B78" s="22">
        <v>3.0</v>
      </c>
      <c r="C78" s="22">
        <v>4.0</v>
      </c>
      <c r="D78" s="22">
        <v>4.0</v>
      </c>
      <c r="E78" s="22">
        <v>4.0</v>
      </c>
      <c r="F78" s="22">
        <v>3.0</v>
      </c>
      <c r="G78" s="22">
        <v>4.0</v>
      </c>
      <c r="H78" s="22">
        <v>5.0</v>
      </c>
      <c r="I78" s="163">
        <f t="shared" si="1"/>
        <v>3.857142857</v>
      </c>
      <c r="J78" s="164">
        <f t="shared" si="2"/>
        <v>0.6900655593</v>
      </c>
      <c r="K78" s="165"/>
      <c r="M78" s="167" t="s">
        <v>505</v>
      </c>
      <c r="N78" s="168" t="s">
        <v>449</v>
      </c>
      <c r="O78" s="169" t="s">
        <v>506</v>
      </c>
      <c r="P78" s="126"/>
      <c r="Q78" s="126"/>
      <c r="R78" s="126"/>
      <c r="S78" s="126"/>
      <c r="T78" s="126"/>
      <c r="U78" s="126"/>
      <c r="V78" s="127"/>
    </row>
    <row r="79">
      <c r="A79" s="159">
        <v>78.0</v>
      </c>
      <c r="B79" s="22">
        <v>3.0</v>
      </c>
      <c r="C79" s="22">
        <v>5.0</v>
      </c>
      <c r="D79" s="22">
        <v>5.0</v>
      </c>
      <c r="E79" s="22">
        <v>3.0</v>
      </c>
      <c r="F79" s="22">
        <v>4.0</v>
      </c>
      <c r="G79" s="22">
        <v>4.0</v>
      </c>
      <c r="H79" s="22">
        <v>5.0</v>
      </c>
      <c r="I79" s="163">
        <f t="shared" si="1"/>
        <v>4.142857143</v>
      </c>
      <c r="J79" s="164">
        <f t="shared" si="2"/>
        <v>0.8997354108</v>
      </c>
      <c r="K79" s="165"/>
      <c r="M79" s="170" t="s">
        <v>507</v>
      </c>
      <c r="N79" s="171" t="s">
        <v>508</v>
      </c>
      <c r="O79" s="172" t="s">
        <v>509</v>
      </c>
      <c r="P79" s="136"/>
      <c r="Q79" s="136"/>
      <c r="R79" s="136"/>
      <c r="S79" s="136"/>
      <c r="T79" s="136"/>
      <c r="U79" s="136"/>
      <c r="V79" s="137"/>
    </row>
    <row r="80">
      <c r="A80" s="159">
        <v>79.0</v>
      </c>
      <c r="B80" s="22">
        <v>4.0</v>
      </c>
      <c r="C80" s="22">
        <v>4.0</v>
      </c>
      <c r="D80" s="22">
        <v>3.0</v>
      </c>
      <c r="E80" s="22">
        <v>5.0</v>
      </c>
      <c r="F80" s="22">
        <v>4.0</v>
      </c>
      <c r="G80" s="22">
        <v>4.0</v>
      </c>
      <c r="H80" s="22">
        <v>5.0</v>
      </c>
      <c r="I80" s="163">
        <f t="shared" si="1"/>
        <v>4.142857143</v>
      </c>
      <c r="J80" s="164">
        <f t="shared" si="2"/>
        <v>0.6900655593</v>
      </c>
      <c r="K80" s="165"/>
      <c r="M80" s="173" t="s">
        <v>510</v>
      </c>
      <c r="N80" s="174" t="s">
        <v>511</v>
      </c>
      <c r="O80" s="172" t="s">
        <v>512</v>
      </c>
      <c r="P80" s="136"/>
      <c r="Q80" s="136"/>
      <c r="R80" s="136"/>
      <c r="S80" s="136"/>
      <c r="T80" s="136"/>
      <c r="U80" s="136"/>
      <c r="V80" s="137"/>
    </row>
    <row r="81">
      <c r="A81" s="159">
        <v>80.0</v>
      </c>
      <c r="B81" s="22">
        <v>5.0</v>
      </c>
      <c r="C81" s="22">
        <v>3.0</v>
      </c>
      <c r="D81" s="22">
        <v>4.0</v>
      </c>
      <c r="E81" s="22">
        <v>3.0</v>
      </c>
      <c r="F81" s="22">
        <v>4.0</v>
      </c>
      <c r="G81" s="22">
        <v>3.0</v>
      </c>
      <c r="H81" s="22">
        <v>5.0</v>
      </c>
      <c r="I81" s="163">
        <f t="shared" si="1"/>
        <v>3.857142857</v>
      </c>
      <c r="J81" s="164">
        <f t="shared" si="2"/>
        <v>0.8997354108</v>
      </c>
      <c r="K81" s="165"/>
      <c r="M81" s="170" t="s">
        <v>513</v>
      </c>
      <c r="N81" s="171" t="s">
        <v>514</v>
      </c>
      <c r="O81" s="172" t="s">
        <v>515</v>
      </c>
      <c r="P81" s="136"/>
      <c r="Q81" s="136"/>
      <c r="R81" s="136"/>
      <c r="S81" s="136"/>
      <c r="T81" s="136"/>
      <c r="U81" s="136"/>
      <c r="V81" s="137"/>
    </row>
    <row r="82">
      <c r="A82" s="101" t="s">
        <v>516</v>
      </c>
      <c r="B82" s="175">
        <f>AVERAGE(B2:B81)</f>
        <v>4.3125</v>
      </c>
      <c r="C82" s="175">
        <f>AVERAGEA(C2:C81)</f>
        <v>4.4125</v>
      </c>
      <c r="D82" s="175">
        <f t="shared" ref="D82:H82" si="3">AVERAGE(D2:D81)</f>
        <v>4.1625</v>
      </c>
      <c r="E82" s="175">
        <f t="shared" si="3"/>
        <v>4.3125</v>
      </c>
      <c r="F82" s="175">
        <f t="shared" si="3"/>
        <v>4.275</v>
      </c>
      <c r="G82" s="175">
        <f t="shared" si="3"/>
        <v>4.4</v>
      </c>
      <c r="H82" s="175">
        <f t="shared" si="3"/>
        <v>4.475</v>
      </c>
      <c r="I82" s="163">
        <f>AVERAGE(B82:H82,I2:I81)</f>
        <v>4.335714286</v>
      </c>
      <c r="J82" s="164">
        <f>STDEV(B82:I82)</f>
        <v>0.09576491198</v>
      </c>
      <c r="K82" s="165"/>
      <c r="M82" s="170" t="s">
        <v>517</v>
      </c>
      <c r="N82" s="171" t="s">
        <v>518</v>
      </c>
      <c r="O82" s="172" t="s">
        <v>519</v>
      </c>
      <c r="P82" s="136"/>
      <c r="Q82" s="136"/>
      <c r="R82" s="136"/>
      <c r="S82" s="136"/>
      <c r="T82" s="136"/>
      <c r="U82" s="136"/>
      <c r="V82" s="137"/>
    </row>
    <row r="83">
      <c r="A83" s="101" t="s">
        <v>491</v>
      </c>
      <c r="B83" s="176">
        <f t="shared" ref="B83:H83" si="4">STDEV(B2:B81)</f>
        <v>0.772858413</v>
      </c>
      <c r="C83" s="176">
        <f t="shared" si="4"/>
        <v>0.6500973637</v>
      </c>
      <c r="D83" s="176">
        <f t="shared" si="4"/>
        <v>0.7194187175</v>
      </c>
      <c r="E83" s="176">
        <f t="shared" si="4"/>
        <v>0.7393762339</v>
      </c>
      <c r="F83" s="176">
        <f t="shared" si="4"/>
        <v>0.7458747307</v>
      </c>
      <c r="G83" s="176">
        <f t="shared" si="4"/>
        <v>0.7044164476</v>
      </c>
      <c r="H83" s="176">
        <f t="shared" si="4"/>
        <v>0.5506038112</v>
      </c>
      <c r="I83" s="164">
        <f>STDEV(I2:I82)</f>
        <v>0.3448602201</v>
      </c>
      <c r="J83" s="164">
        <f>STDEV(B83:I83,J2:J82)</f>
        <v>0.1986461693</v>
      </c>
      <c r="K83" s="165"/>
      <c r="M83" s="170" t="s">
        <v>520</v>
      </c>
      <c r="N83" s="171" t="s">
        <v>521</v>
      </c>
      <c r="O83" s="172" t="s">
        <v>522</v>
      </c>
      <c r="P83" s="136"/>
      <c r="Q83" s="136"/>
      <c r="R83" s="136"/>
      <c r="S83" s="136"/>
      <c r="T83" s="136"/>
      <c r="U83" s="136"/>
      <c r="V83" s="137"/>
    </row>
    <row r="87">
      <c r="A87" s="177" t="s">
        <v>375</v>
      </c>
    </row>
    <row r="88">
      <c r="A88" s="23"/>
      <c r="B88" s="38" t="s">
        <v>484</v>
      </c>
      <c r="C88" s="38" t="s">
        <v>485</v>
      </c>
      <c r="D88" s="38" t="s">
        <v>486</v>
      </c>
      <c r="E88" s="38" t="s">
        <v>487</v>
      </c>
      <c r="F88" s="38" t="s">
        <v>488</v>
      </c>
      <c r="G88" s="38" t="s">
        <v>489</v>
      </c>
      <c r="H88" s="38" t="s">
        <v>490</v>
      </c>
    </row>
    <row r="89">
      <c r="A89" s="38">
        <v>1.0</v>
      </c>
      <c r="B89" s="23">
        <f t="array" ref="B89:B94">FREQUENCY(B2:B81,A89:A93)</f>
        <v>0</v>
      </c>
      <c r="C89" s="23">
        <f t="array" ref="C89:C94">FREQUENCY(C2:C81,A89:A93)</f>
        <v>0</v>
      </c>
      <c r="D89" s="23">
        <f t="array" ref="D89:D94">FREQUENCY(D2:D81,A89:A93)</f>
        <v>0</v>
      </c>
      <c r="E89" s="23">
        <f t="array" ref="E89:E94">FREQUENCY(E2:E81,A89:A93)</f>
        <v>0</v>
      </c>
      <c r="F89" s="23">
        <f t="array" ref="F89:F94">FREQUENCY(F2:F81,A89:A93)</f>
        <v>0</v>
      </c>
      <c r="G89" s="23">
        <f t="array" ref="G89:G94">FREQUENCY(G2:G81,A89:A93)</f>
        <v>0</v>
      </c>
      <c r="H89" s="23">
        <f t="array" ref="H89:H94">FREQUENCY(H2:H81,A89:A93)</f>
        <v>0</v>
      </c>
    </row>
    <row r="90">
      <c r="A90" s="38">
        <v>2.0</v>
      </c>
      <c r="B90" s="23">
        <v>0.0</v>
      </c>
      <c r="C90" s="23">
        <v>0.0</v>
      </c>
      <c r="D90" s="23">
        <v>0.0</v>
      </c>
      <c r="E90" s="23">
        <v>0.0</v>
      </c>
      <c r="F90" s="23">
        <v>0.0</v>
      </c>
      <c r="G90" s="23">
        <v>1.0</v>
      </c>
      <c r="H90" s="23">
        <v>0.0</v>
      </c>
    </row>
    <row r="91">
      <c r="A91" s="38">
        <v>3.0</v>
      </c>
      <c r="B91" s="23">
        <v>15.0</v>
      </c>
      <c r="C91" s="23">
        <v>7.0</v>
      </c>
      <c r="D91" s="23">
        <v>15.0</v>
      </c>
      <c r="E91" s="23">
        <v>13.0</v>
      </c>
      <c r="F91" s="23">
        <v>14.0</v>
      </c>
      <c r="G91" s="23">
        <v>7.0</v>
      </c>
      <c r="H91" s="23">
        <v>2.0</v>
      </c>
    </row>
    <row r="92">
      <c r="A92" s="38">
        <v>4.0</v>
      </c>
      <c r="B92" s="23">
        <v>25.0</v>
      </c>
      <c r="C92" s="23">
        <v>33.0</v>
      </c>
      <c r="D92" s="23">
        <v>37.0</v>
      </c>
      <c r="E92" s="23">
        <v>29.0</v>
      </c>
      <c r="F92" s="23">
        <v>30.0</v>
      </c>
      <c r="G92" s="23">
        <v>31.0</v>
      </c>
      <c r="H92" s="23">
        <v>38.0</v>
      </c>
    </row>
    <row r="93">
      <c r="A93" s="38">
        <v>5.0</v>
      </c>
      <c r="B93" s="23">
        <v>40.0</v>
      </c>
      <c r="C93" s="23">
        <v>40.0</v>
      </c>
      <c r="D93" s="23">
        <v>28.0</v>
      </c>
      <c r="E93" s="23">
        <v>38.0</v>
      </c>
      <c r="F93" s="23">
        <v>36.0</v>
      </c>
      <c r="G93" s="23">
        <v>41.0</v>
      </c>
      <c r="H93" s="23">
        <v>40.0</v>
      </c>
    </row>
    <row r="94">
      <c r="B94" s="105">
        <v>0.0</v>
      </c>
      <c r="C94" s="105">
        <v>0.0</v>
      </c>
      <c r="D94" s="105">
        <v>0.0</v>
      </c>
      <c r="E94" s="105">
        <v>0.0</v>
      </c>
      <c r="F94" s="105">
        <v>0.0</v>
      </c>
      <c r="G94" s="105">
        <v>0.0</v>
      </c>
      <c r="H94" s="105">
        <v>0.0</v>
      </c>
    </row>
    <row r="97">
      <c r="A97" s="177" t="s">
        <v>399</v>
      </c>
    </row>
    <row r="98">
      <c r="A98" s="23"/>
      <c r="B98" s="38" t="s">
        <v>484</v>
      </c>
      <c r="C98" s="38" t="s">
        <v>485</v>
      </c>
      <c r="D98" s="38" t="s">
        <v>486</v>
      </c>
      <c r="E98" s="38" t="s">
        <v>487</v>
      </c>
      <c r="F98" s="38" t="s">
        <v>488</v>
      </c>
      <c r="G98" s="38" t="s">
        <v>489</v>
      </c>
      <c r="H98" s="38" t="s">
        <v>490</v>
      </c>
    </row>
    <row r="99">
      <c r="A99" s="38">
        <v>1.0</v>
      </c>
      <c r="B99" s="43">
        <f>IFERROR(__xludf.DUMMYFUNCTION("PERCENTIF(B2:B81,A99:A103)"),0.0)</f>
        <v>0</v>
      </c>
      <c r="C99" s="43">
        <f>IFERROR(__xludf.DUMMYFUNCTION("PERCENTIF(C2:C81,A99:A103)"),0.0)</f>
        <v>0</v>
      </c>
      <c r="D99" s="43">
        <f>IFERROR(__xludf.DUMMYFUNCTION("PERCENTIF(D2:D81,A99:A103)"),0.0)</f>
        <v>0</v>
      </c>
      <c r="E99" s="43">
        <f>IFERROR(__xludf.DUMMYFUNCTION("PERCENTIF(E2:E81,A99:A103)"),0.0)</f>
        <v>0</v>
      </c>
      <c r="F99" s="43">
        <f>IFERROR(__xludf.DUMMYFUNCTION("PERCENTIF(F2:F81,A99:A103)"),0.0)</f>
        <v>0</v>
      </c>
      <c r="G99" s="43">
        <f>IFERROR(__xludf.DUMMYFUNCTION("PERCENTIF(G2:G81,A99:A103)"),0.0)</f>
        <v>0</v>
      </c>
      <c r="H99" s="43">
        <f>IFERROR(__xludf.DUMMYFUNCTION("PERCENTIF(H2:H81,A99:A103)"),0.0)</f>
        <v>0</v>
      </c>
    </row>
    <row r="100">
      <c r="A100" s="38">
        <v>2.0</v>
      </c>
      <c r="B100" s="43">
        <f>IFERROR(__xludf.DUMMYFUNCTION("PERCENTIF(B2:B81,A99:A103)"),0.0)</f>
        <v>0</v>
      </c>
      <c r="C100" s="43">
        <f>IFERROR(__xludf.DUMMYFUNCTION("PERCENTIF(C2:C81,A99:A103)"),0.0)</f>
        <v>0</v>
      </c>
      <c r="D100" s="43">
        <f>IFERROR(__xludf.DUMMYFUNCTION("PERCENTIF(D2:D81,A99:A103)"),0.0)</f>
        <v>0</v>
      </c>
      <c r="E100" s="43">
        <f>IFERROR(__xludf.DUMMYFUNCTION("PERCENTIF(E2:E81,A99:A103)"),0.0)</f>
        <v>0</v>
      </c>
      <c r="F100" s="43">
        <f>IFERROR(__xludf.DUMMYFUNCTION("PERCENTIF(F2:F81,A99:A103)"),0.0)</f>
        <v>0</v>
      </c>
      <c r="G100" s="43">
        <f>IFERROR(__xludf.DUMMYFUNCTION("PERCENTIF(G2:G81,A99:A103)"),0.0125)</f>
        <v>0.0125</v>
      </c>
      <c r="H100" s="43">
        <f>IFERROR(__xludf.DUMMYFUNCTION("PERCENTIF(H2:H81,A99:A103)"),0.0)</f>
        <v>0</v>
      </c>
    </row>
    <row r="101">
      <c r="A101" s="38">
        <v>3.0</v>
      </c>
      <c r="B101" s="43">
        <f>IFERROR(__xludf.DUMMYFUNCTION("PERCENTIF(B2:B81,A99:A103)"),0.1875)</f>
        <v>0.1875</v>
      </c>
      <c r="C101" s="43">
        <f>IFERROR(__xludf.DUMMYFUNCTION("PERCENTIF(C2:C81,A99:A103)"),0.0875)</f>
        <v>0.0875</v>
      </c>
      <c r="D101" s="43">
        <f>IFERROR(__xludf.DUMMYFUNCTION("PERCENTIF(D2:D81,A99:A103)"),0.1875)</f>
        <v>0.1875</v>
      </c>
      <c r="E101" s="43">
        <f>IFERROR(__xludf.DUMMYFUNCTION("PERCENTIF(E2:E81,A99:A103)"),0.1625)</f>
        <v>0.1625</v>
      </c>
      <c r="F101" s="43">
        <f>IFERROR(__xludf.DUMMYFUNCTION("PERCENTIF(F2:F81,A99:A103)"),0.175)</f>
        <v>0.175</v>
      </c>
      <c r="G101" s="43">
        <f>IFERROR(__xludf.DUMMYFUNCTION("PERCENTIF(G2:G81,A99:A103)"),0.0875)</f>
        <v>0.0875</v>
      </c>
      <c r="H101" s="43">
        <f>IFERROR(__xludf.DUMMYFUNCTION("PERCENTIF(H2:H81,A99:A103)"),0.025)</f>
        <v>0.025</v>
      </c>
    </row>
    <row r="102">
      <c r="A102" s="38">
        <v>4.0</v>
      </c>
      <c r="B102" s="43">
        <f>IFERROR(__xludf.DUMMYFUNCTION("PERCENTIF(B2:B81,A99:A103)"),0.3125)</f>
        <v>0.3125</v>
      </c>
      <c r="C102" s="43">
        <f>IFERROR(__xludf.DUMMYFUNCTION("PERCENTIF(C2:C81,A99:A103)"),0.4125)</f>
        <v>0.4125</v>
      </c>
      <c r="D102" s="43">
        <f>IFERROR(__xludf.DUMMYFUNCTION("PERCENTIF(D2:D81,A99:A103)"),0.4625)</f>
        <v>0.4625</v>
      </c>
      <c r="E102" s="43">
        <f>IFERROR(__xludf.DUMMYFUNCTION("PERCENTIF(E2:E81,A99:A103)"),0.3625)</f>
        <v>0.3625</v>
      </c>
      <c r="F102" s="43">
        <f>IFERROR(__xludf.DUMMYFUNCTION("PERCENTIF(F2:F81,A99:A103)"),0.375)</f>
        <v>0.375</v>
      </c>
      <c r="G102" s="43">
        <f>IFERROR(__xludf.DUMMYFUNCTION("PERCENTIF(G2:G81,A99:A103)"),0.3875)</f>
        <v>0.3875</v>
      </c>
      <c r="H102" s="43">
        <f>IFERROR(__xludf.DUMMYFUNCTION("PERCENTIF(H2:H81,A99:A103)"),0.475)</f>
        <v>0.475</v>
      </c>
    </row>
    <row r="103">
      <c r="A103" s="38">
        <v>5.0</v>
      </c>
      <c r="B103" s="43">
        <f>IFERROR(__xludf.DUMMYFUNCTION("PERCENTIF(B2:B81,A99:A103)"),0.5)</f>
        <v>0.5</v>
      </c>
      <c r="C103" s="43">
        <f>IFERROR(__xludf.DUMMYFUNCTION("PERCENTIF(C2:C81,A99:A103)"),0.5)</f>
        <v>0.5</v>
      </c>
      <c r="D103" s="43">
        <f>IFERROR(__xludf.DUMMYFUNCTION("PERCENTIF(D2:D81,A99:A103)"),0.35)</f>
        <v>0.35</v>
      </c>
      <c r="E103" s="43">
        <f>IFERROR(__xludf.DUMMYFUNCTION("PERCENTIF(E2:E81,A99:A103)"),0.475)</f>
        <v>0.475</v>
      </c>
      <c r="F103" s="43">
        <f>IFERROR(__xludf.DUMMYFUNCTION("PERCENTIF(F2:F81,A99:A103)"),0.45)</f>
        <v>0.45</v>
      </c>
      <c r="G103" s="43">
        <f>IFERROR(__xludf.DUMMYFUNCTION("PERCENTIF(G2:G81,A99:A103)"),0.5125)</f>
        <v>0.5125</v>
      </c>
      <c r="H103" s="43">
        <f>IFERROR(__xludf.DUMMYFUNCTION("PERCENTIF(H2:H81,A99:A103)"),0.5)</f>
        <v>0.5</v>
      </c>
    </row>
    <row r="104">
      <c r="A104" s="22" t="s">
        <v>523</v>
      </c>
      <c r="B104" s="43">
        <f t="shared" ref="B104:H104" si="5">SUM(B99:B103)</f>
        <v>1</v>
      </c>
      <c r="C104" s="43">
        <f t="shared" si="5"/>
        <v>1</v>
      </c>
      <c r="D104" s="43">
        <f t="shared" si="5"/>
        <v>1</v>
      </c>
      <c r="E104" s="43">
        <f t="shared" si="5"/>
        <v>1</v>
      </c>
      <c r="F104" s="43">
        <f t="shared" si="5"/>
        <v>1</v>
      </c>
      <c r="G104" s="43">
        <f t="shared" si="5"/>
        <v>1</v>
      </c>
      <c r="H104" s="43">
        <f t="shared" si="5"/>
        <v>1</v>
      </c>
    </row>
  </sheetData>
  <mergeCells count="8">
    <mergeCell ref="O78:V78"/>
    <mergeCell ref="O79:V79"/>
    <mergeCell ref="O80:V80"/>
    <mergeCell ref="O81:V81"/>
    <mergeCell ref="O82:V82"/>
    <mergeCell ref="O83:V83"/>
    <mergeCell ref="A87:H87"/>
    <mergeCell ref="A97:H97"/>
  </mergeCells>
  <drawing r:id="rId1"/>
  <tableParts count="3">
    <tablePart r:id="rId5"/>
    <tablePart r:id="rId6"/>
    <tablePart r:id="rId7"/>
  </tableParts>
</worksheet>
</file>