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ndows 10\Desktop\StudentAttendanceSystem\"/>
    </mc:Choice>
  </mc:AlternateContent>
  <xr:revisionPtr revIDLastSave="0" documentId="8_{81741177-EE23-4E92-9E3F-1465F10A9EC3}" xr6:coauthVersionLast="47" xr6:coauthVersionMax="47" xr10:uidLastSave="{00000000-0000-0000-0000-000000000000}"/>
  <bookViews>
    <workbookView xWindow="-108" yWindow="-108" windowWidth="23256" windowHeight="13176" xr2:uid="{1936F257-8437-46F4-8140-6B3ADD6E66B6}"/>
  </bookViews>
  <sheets>
    <sheet name="Sheet6" sheetId="1" r:id="rId1"/>
  </sheets>
  <definedNames>
    <definedName name="MY_FUNCTION1">LAMBDA(BYCOL(Sheet6!$N$121:$W$121))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1" i="1" l="1"/>
  <c r="B140" i="1"/>
  <c r="B139" i="1"/>
  <c r="B138" i="1"/>
  <c r="B137" i="1"/>
  <c r="B141" i="1" s="1"/>
  <c r="V132" i="1"/>
  <c r="K132" i="1"/>
  <c r="J132" i="1"/>
  <c r="W131" i="1"/>
  <c r="V131" i="1"/>
  <c r="U131" i="1"/>
  <c r="U132" i="1" s="1"/>
  <c r="T131" i="1"/>
  <c r="T132" i="1" s="1"/>
  <c r="S131" i="1"/>
  <c r="S132" i="1" s="1"/>
  <c r="R131" i="1"/>
  <c r="R132" i="1" s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W130" i="1"/>
  <c r="W132" i="1" s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G132" i="1" s="1"/>
  <c r="F130" i="1"/>
  <c r="E130" i="1"/>
  <c r="D130" i="1"/>
  <c r="C130" i="1"/>
  <c r="B130" i="1"/>
  <c r="W129" i="1"/>
  <c r="V129" i="1"/>
  <c r="U129" i="1"/>
  <c r="T129" i="1"/>
  <c r="S129" i="1"/>
  <c r="R129" i="1"/>
  <c r="Q129" i="1"/>
  <c r="P129" i="1"/>
  <c r="O129" i="1"/>
  <c r="N129" i="1"/>
  <c r="M129" i="1"/>
  <c r="M132" i="1" s="1"/>
  <c r="L129" i="1"/>
  <c r="L132" i="1" s="1"/>
  <c r="K129" i="1"/>
  <c r="J129" i="1"/>
  <c r="I129" i="1"/>
  <c r="I132" i="1" s="1"/>
  <c r="H129" i="1"/>
  <c r="H132" i="1" s="1"/>
  <c r="G129" i="1"/>
  <c r="F129" i="1"/>
  <c r="F132" i="1" s="1"/>
  <c r="E129" i="1"/>
  <c r="D129" i="1"/>
  <c r="C129" i="1"/>
  <c r="B129" i="1"/>
  <c r="K126" i="1"/>
  <c r="K125" i="1"/>
  <c r="W121" i="1" a="1"/>
  <c r="W123" i="1" s="1"/>
  <c r="V121" i="1" a="1"/>
  <c r="V123" i="1" s="1"/>
  <c r="U123" i="1"/>
  <c r="U122" i="1"/>
  <c r="U121" i="1"/>
  <c r="U121" i="1" a="1"/>
  <c r="T121" i="1" a="1"/>
  <c r="T124" i="1" s="1"/>
  <c r="S121" i="1" a="1"/>
  <c r="S124" i="1" s="1"/>
  <c r="R124" i="1"/>
  <c r="R121" i="1" a="1"/>
  <c r="R123" i="1" s="1"/>
  <c r="Q121" i="1" a="1"/>
  <c r="Q123" i="1" s="1"/>
  <c r="P124" i="1"/>
  <c r="P123" i="1"/>
  <c r="P122" i="1"/>
  <c r="P125" i="1" s="1"/>
  <c r="P121" i="1"/>
  <c r="P121" i="1" a="1"/>
  <c r="O121" i="1" a="1"/>
  <c r="O122" i="1" s="1"/>
  <c r="N121" i="1" a="1"/>
  <c r="N124" i="1" s="1"/>
  <c r="M121" i="1" a="1"/>
  <c r="M124" i="1" s="1"/>
  <c r="L121" i="1" a="1"/>
  <c r="L124" i="1" s="1"/>
  <c r="K124" i="1"/>
  <c r="K123" i="1"/>
  <c r="K122" i="1"/>
  <c r="K121" i="1"/>
  <c r="K121" i="1" a="1"/>
  <c r="J121" i="1" a="1"/>
  <c r="J121" i="1" s="1"/>
  <c r="I124" i="1"/>
  <c r="I123" i="1"/>
  <c r="I122" i="1"/>
  <c r="I121" i="1"/>
  <c r="I125" i="1" s="1"/>
  <c r="I121" i="1" a="1"/>
  <c r="H121" i="1" a="1"/>
  <c r="H121" i="1" s="1"/>
  <c r="G121" i="1" a="1"/>
  <c r="G124" i="1" s="1"/>
  <c r="F124" i="1"/>
  <c r="F121" i="1" a="1"/>
  <c r="F123" i="1" s="1"/>
  <c r="E121" i="1" a="1"/>
  <c r="E124" i="1" s="1"/>
  <c r="D124" i="1"/>
  <c r="D123" i="1"/>
  <c r="D122" i="1"/>
  <c r="D125" i="1" s="1"/>
  <c r="D121" i="1"/>
  <c r="D121" i="1" a="1"/>
  <c r="C121" i="1" a="1"/>
  <c r="C121" i="1" s="1"/>
  <c r="B121" i="1" a="1"/>
  <c r="B123" i="1" s="1"/>
  <c r="C132" i="1" l="1"/>
  <c r="E132" i="1"/>
  <c r="B132" i="1"/>
  <c r="N132" i="1"/>
  <c r="O132" i="1"/>
  <c r="D132" i="1"/>
  <c r="P132" i="1"/>
  <c r="Q132" i="1"/>
  <c r="U125" i="1"/>
  <c r="U126" i="1"/>
  <c r="J126" i="1"/>
  <c r="J125" i="1"/>
  <c r="N121" i="1"/>
  <c r="B121" i="1"/>
  <c r="G121" i="1"/>
  <c r="N122" i="1"/>
  <c r="S121" i="1"/>
  <c r="G122" i="1"/>
  <c r="L121" i="1"/>
  <c r="N123" i="1"/>
  <c r="S122" i="1"/>
  <c r="E121" i="1"/>
  <c r="G123" i="1"/>
  <c r="L122" i="1"/>
  <c r="Q121" i="1"/>
  <c r="S123" i="1"/>
  <c r="V121" i="1"/>
  <c r="E122" i="1"/>
  <c r="Q122" i="1"/>
  <c r="V122" i="1"/>
  <c r="D126" i="1"/>
  <c r="P126" i="1"/>
  <c r="J122" i="1"/>
  <c r="O121" i="1"/>
  <c r="Q124" i="1"/>
  <c r="T121" i="1"/>
  <c r="C122" i="1"/>
  <c r="C126" i="1" s="1"/>
  <c r="H122" i="1"/>
  <c r="H125" i="1" s="1"/>
  <c r="J124" i="1"/>
  <c r="M121" i="1"/>
  <c r="O123" i="1"/>
  <c r="T122" i="1"/>
  <c r="W121" i="1"/>
  <c r="C123" i="1"/>
  <c r="Y123" i="1" s="1"/>
  <c r="F121" i="1"/>
  <c r="H123" i="1"/>
  <c r="M122" i="1"/>
  <c r="O124" i="1"/>
  <c r="R121" i="1"/>
  <c r="T123" i="1"/>
  <c r="W122" i="1"/>
  <c r="B122" i="1"/>
  <c r="B124" i="1"/>
  <c r="L123" i="1"/>
  <c r="E123" i="1"/>
  <c r="J123" i="1"/>
  <c r="F122" i="1"/>
  <c r="H124" i="1"/>
  <c r="M123" i="1"/>
  <c r="R122" i="1"/>
  <c r="I126" i="1"/>
  <c r="X121" i="1" l="1"/>
  <c r="B125" i="1"/>
  <c r="B126" i="1"/>
  <c r="Y121" i="1"/>
  <c r="O125" i="1"/>
  <c r="O126" i="1"/>
  <c r="C125" i="1"/>
  <c r="G125" i="1"/>
  <c r="G126" i="1"/>
  <c r="N125" i="1"/>
  <c r="N126" i="1"/>
  <c r="T125" i="1"/>
  <c r="T126" i="1"/>
  <c r="F125" i="1"/>
  <c r="F126" i="1"/>
  <c r="H126" i="1"/>
  <c r="V126" i="1"/>
  <c r="V125" i="1"/>
  <c r="R125" i="1"/>
  <c r="R126" i="1"/>
  <c r="Q125" i="1"/>
  <c r="Q126" i="1"/>
  <c r="E125" i="1"/>
  <c r="E126" i="1"/>
  <c r="W125" i="1"/>
  <c r="W126" i="1"/>
  <c r="L125" i="1"/>
  <c r="L126" i="1"/>
  <c r="S125" i="1"/>
  <c r="S126" i="1"/>
  <c r="X122" i="1"/>
  <c r="Y122" i="1" s="1"/>
  <c r="M125" i="1"/>
  <c r="M126" i="1"/>
  <c r="X125" i="1" l="1"/>
  <c r="X126" i="1"/>
</calcChain>
</file>

<file path=xl/sharedStrings.xml><?xml version="1.0" encoding="utf-8"?>
<sst xmlns="http://schemas.openxmlformats.org/spreadsheetml/2006/main" count="133" uniqueCount="129">
  <si>
    <r>
      <rPr>
        <b/>
        <sz val="10"/>
        <color theme="1"/>
        <rFont val="Arial"/>
      </rPr>
      <t>1</t>
    </r>
    <r>
      <rPr>
        <sz val="10"/>
        <color theme="1"/>
        <rFont val="Arial"/>
      </rPr>
      <t xml:space="preserve"> = absents </t>
    </r>
    <r>
      <rPr>
        <b/>
        <sz val="10"/>
        <color theme="1"/>
        <rFont val="Arial"/>
      </rPr>
      <t xml:space="preserve">0 </t>
    </r>
    <r>
      <rPr>
        <sz val="10"/>
        <color theme="1"/>
        <rFont val="Arial"/>
      </rPr>
      <t>= Late   2 = Present</t>
    </r>
  </si>
  <si>
    <t>NAME:</t>
  </si>
  <si>
    <t>10/ 8</t>
  </si>
  <si>
    <t>ALONSO, ETHAN</t>
  </si>
  <si>
    <t>ARDEPOLLA, KYLR SHAWN</t>
  </si>
  <si>
    <t>DIACOSTA, ANTHONY JOHN</t>
  </si>
  <si>
    <t>FUENTES, JOHN PRAVEEN</t>
  </si>
  <si>
    <t>GOMEZ, FABIO</t>
  </si>
  <si>
    <t>LOPEZ, SANTI GABRIELLE</t>
  </si>
  <si>
    <t>ORAYLE, RHEAMBOY CRISPIN</t>
  </si>
  <si>
    <t>RAZO, RHIENNO</t>
  </si>
  <si>
    <t>TUMONGHA, LUIS ANTHONIO</t>
  </si>
  <si>
    <t>BITANG, PRINCESS</t>
  </si>
  <si>
    <t>DARUNDAY, GESHKA</t>
  </si>
  <si>
    <t>DUMANDAN, ZYRAH</t>
  </si>
  <si>
    <t>ESTILLORE, CHLOE JEAN</t>
  </si>
  <si>
    <t>GALIMA, PRINCESS RENESMEE</t>
  </si>
  <si>
    <t>LIMBOY, LEINIE</t>
  </si>
  <si>
    <t>TALENTO, SAMANTHA</t>
  </si>
  <si>
    <t>GAMAD, KEINTH ALFRED SILVA</t>
  </si>
  <si>
    <t>REYES, ZACCHAEUS GRAYNE PINAT</t>
  </si>
  <si>
    <t>SEQUIRA, ASHELY MAE TAD E</t>
  </si>
  <si>
    <t>ADLAWAN, JESSAN JADE DUMANDAN</t>
  </si>
  <si>
    <t>CABACO, IZO MIGUEL</t>
  </si>
  <si>
    <t>LIBO-ON, JHOHANNE RHELCY MORENO</t>
  </si>
  <si>
    <t>LORO, RAFAEL SALLE</t>
  </si>
  <si>
    <t>MADRIAGA, ZACKARRY DANIEL BORRAS</t>
  </si>
  <si>
    <t>MANGARON, DONNIE LIAN MONTAJES</t>
  </si>
  <si>
    <t>MASASPET, MARCO ANTONIO AQUINO</t>
  </si>
  <si>
    <t>BELOSTRINO, ALDRICH MANLIGOY</t>
  </si>
  <si>
    <t>BUENAFLOR, STEPHAN JADE CUESTA</t>
  </si>
  <si>
    <t>CANEDA, JHON NAZARITH SALUDO</t>
  </si>
  <si>
    <t>GATDULA, ALDRICH MAVERICK MAGKIDONG</t>
  </si>
  <si>
    <t>MARIQUIT, MICHEAL ANGELO SALIGUMBA</t>
  </si>
  <si>
    <t>OCON, GABRIEL TIBURICO</t>
  </si>
  <si>
    <t>OMPAR, PRINCE ARRIANNE ARCE</t>
  </si>
  <si>
    <t>PARBA, JAMES ANDREW NOYNAY</t>
  </si>
  <si>
    <t>ESTOLONIO, JANINA JZYTH LINTAPAN</t>
  </si>
  <si>
    <t>MANTES, ALLANA KING</t>
  </si>
  <si>
    <t>PERALES, PRINCESS ZAIRA LOPEZ</t>
  </si>
  <si>
    <t>GOLES, MIGUEL INIGO ALEGRIA</t>
  </si>
  <si>
    <t>SALVERON, JULZ MIGUEL EDING</t>
  </si>
  <si>
    <t>TADLE, TRISHA LEIGH DELA CERNA</t>
  </si>
  <si>
    <t>ALIPIO, KHIEZEL YURIAN DAYO</t>
  </si>
  <si>
    <t>DIVINAGRACIA, LI ZION ABAYON</t>
  </si>
  <si>
    <t>GALANIDA, RENZ KYLE MAMPARO</t>
  </si>
  <si>
    <t>MANGMANG, RANDOLPH CLARENCE DELOS REYES</t>
  </si>
  <si>
    <t>ROSALITA, CYRUS VILLANUEVA</t>
  </si>
  <si>
    <t>ALBINA, CELESTE MONIQUE FUENTES</t>
  </si>
  <si>
    <t>DELA TORRE, JHAMEELAH</t>
  </si>
  <si>
    <t>ESTOMATA, NICOLE BOTA</t>
  </si>
  <si>
    <t>GABORNE, KEISHA FAYE OCCIDA</t>
  </si>
  <si>
    <t>GOMEZ, NULAH JUSTINIANE</t>
  </si>
  <si>
    <t>LANDAS, PRINCESS HEBA USOP</t>
  </si>
  <si>
    <t>LOCSIN, KAZELL MAE</t>
  </si>
  <si>
    <t>MACASA, JIAN CHLOE TE</t>
  </si>
  <si>
    <t>MANINGO, JULIARA MAUREEN APARECE</t>
  </si>
  <si>
    <t>TAMIMI, MAYUMI PAYAG</t>
  </si>
  <si>
    <t>TUMONGHA, SAMANTHA</t>
  </si>
  <si>
    <t>VILLANUEVA,, JANELLE BONGATOR</t>
  </si>
  <si>
    <t>BANEZ, FARRELLE ANTHONY VILLA</t>
  </si>
  <si>
    <t>CIFRA, INAKI FRANCO CALAMBA</t>
  </si>
  <si>
    <t>DUBLIN, MARCUS DIEGO EDING</t>
  </si>
  <si>
    <t>LIM, KIRBY BRET MATA</t>
  </si>
  <si>
    <t>MACATUAL, JAMES RYAN CASOL</t>
  </si>
  <si>
    <t>OBIAS, FRANCIS LANCELOT DELOS REYES</t>
  </si>
  <si>
    <t>PIZON, HOWARD EMMANUEL GARROTE</t>
  </si>
  <si>
    <t>TOLOSA, KYLE CHRISTOPHER LIRAY</t>
  </si>
  <si>
    <t>BACALSO, YSHA YUMI</t>
  </si>
  <si>
    <t>BRAGANZA, RHEENA LOURDES MESIONA</t>
  </si>
  <si>
    <t>CORTUNA, JAYCEN ANGEL ONCE</t>
  </si>
  <si>
    <t>ESPANUEVA, ASHANTI MANALILI</t>
  </si>
  <si>
    <t>EVANGELISTA, MA. ELOISA DARUNDAY</t>
  </si>
  <si>
    <t>FUENTES, CHIENTZY ERL DEQUINA</t>
  </si>
  <si>
    <t>LAFUENTE, IANNAH RENZY MAY NISHIMURA</t>
  </si>
  <si>
    <t>LATORENO, ERICA JULIANA MORAL</t>
  </si>
  <si>
    <t>LIMBOY, LEIANE JANE TAJANTAJAN</t>
  </si>
  <si>
    <t>MAMALIS, HONEY MARY SANSAN</t>
  </si>
  <si>
    <t>MATA, CARIZA SHANA TERANTE</t>
  </si>
  <si>
    <t>MERICUELO, MARY BLESS CABRERA</t>
  </si>
  <si>
    <t>SOLEDAD, RHEAN LEE PEREZ</t>
  </si>
  <si>
    <t>TORRES, ANGELA DENISE BA</t>
  </si>
  <si>
    <t>ACQUAS, EFREN JR. FEBRE</t>
  </si>
  <si>
    <t>ALFECHE, GERALD JR TRESVALLES</t>
  </si>
  <si>
    <t>CABABAROS, MITCH DUANNE SANTINO BALUYA</t>
  </si>
  <si>
    <t>MATUGUINA, GABRIEL ANDREI TABOADA</t>
  </si>
  <si>
    <t>PACOT, KIRK RUBEN</t>
  </si>
  <si>
    <t>ZAFRA, JAN FRANCIS SAMPAN</t>
  </si>
  <si>
    <t>ANCAPOY, VIANCELLE BONCALES</t>
  </si>
  <si>
    <t>LOBERIZA, LADY APPLE ONDONG</t>
  </si>
  <si>
    <t>ONGCOY, MARIA THERESA</t>
  </si>
  <si>
    <t>CEROJALES, PETER CEDRICK INTO</t>
  </si>
  <si>
    <t>PASCUA, ROBERT JALA</t>
  </si>
  <si>
    <t>SIMANGAN, RIZA VANEZA LIM</t>
  </si>
  <si>
    <t>VIRTUCIO, SHANNIA LYNN BUCHAN</t>
  </si>
  <si>
    <t>CAJES, JAKE MURPHY BULACOY</t>
  </si>
  <si>
    <t>CALUMA, DANE MARQUIX NIETES</t>
  </si>
  <si>
    <t>ENRIQUEZ, TROY ANDREW LERON</t>
  </si>
  <si>
    <t>PAYOT, ELDWOOD MEDEL</t>
  </si>
  <si>
    <t>VILLAMOR, ALLEN KEITH ROSEL</t>
  </si>
  <si>
    <t>CADAVA, CHLOE BERNESS MANGLICMOT</t>
  </si>
  <si>
    <t>JALAMAN, RANMAE JOY BALILI</t>
  </si>
  <si>
    <t>LOSBAÑES, SERJHIA SERGS ROSALITA</t>
  </si>
  <si>
    <t>LUSAYNON, REYANNE KATRICE CORBITA</t>
  </si>
  <si>
    <t>PAÑAMOGAN, ROJIEL JOYCE</t>
  </si>
  <si>
    <t>RABANG, JAMILA ROISIN OBENZA</t>
  </si>
  <si>
    <t>ROSAROSO, KYRA CARMELLA BAHAYA</t>
  </si>
  <si>
    <t>BINOBO, JOMER FUENTES</t>
  </si>
  <si>
    <t>LICEN, FRANCIS TAN</t>
  </si>
  <si>
    <t>LIGUTAN, KRIS JAY PORRAS</t>
  </si>
  <si>
    <t>MASUNONG, MICHAEL DUNAN</t>
  </si>
  <si>
    <t>PAMAOS, ALLEN BRIX QUIAOIT</t>
  </si>
  <si>
    <t>TANGONAN, XYZE ΝΕΜΟ ΜΑÑEGO</t>
  </si>
  <si>
    <t>APUD, ASHLEY MARIE MANCERA</t>
  </si>
  <si>
    <t>DAGOHOY, AVRIL SHANDY SABIDO</t>
  </si>
  <si>
    <t>LEE, PATRICIA ANNE SUNGA</t>
  </si>
  <si>
    <t>PANGA, NICOLE MISAL</t>
  </si>
  <si>
    <t>SANCHEZ, PRINCESS LYN MAGUINSAY</t>
  </si>
  <si>
    <t>Frequency (0 = Late, 1 = Absent, 2 = Present)</t>
  </si>
  <si>
    <t>MEAN</t>
  </si>
  <si>
    <t>STANDARD DEVIATION</t>
  </si>
  <si>
    <t>Percentage (1 = absents 0 = Late)</t>
  </si>
  <si>
    <t>Total</t>
  </si>
  <si>
    <t>no. of students</t>
  </si>
  <si>
    <t>Percentage</t>
  </si>
  <si>
    <t>Grade 8</t>
  </si>
  <si>
    <t>Grade 9</t>
  </si>
  <si>
    <t>Grade 10</t>
  </si>
  <si>
    <t>Grade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</si>
</sst>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1"/>
      <color rgb="FF000000"/>
      <name val="Calibri"/>
    </font>
    <font>
      <sz val="11"/>
      <color rgb="FFFF00FF"/>
      <name val="Calibri"/>
    </font>
    <font>
      <sz val="11"/>
      <color rgb="FF4A86E8"/>
      <name val="Calibri"/>
    </font>
    <font>
      <sz val="11"/>
      <color rgb="FF00FF00"/>
      <name val="Calibri"/>
    </font>
    <font>
      <b/>
      <i/>
      <sz val="10"/>
      <color theme="1"/>
      <name val="Arial"/>
      <scheme val="minor"/>
    </font>
    <font>
      <b/>
      <sz val="12"/>
      <color theme="1"/>
      <name val="Arial"/>
      <scheme val="minor"/>
    </font>
    <font>
      <b/>
      <i/>
      <sz val="12"/>
      <color theme="1"/>
      <name val="Arial"/>
      <scheme val="minor"/>
    </font>
    <font>
      <sz val="10"/>
      <color rgb="FF000000"/>
      <name val="Roboto"/>
    </font>
    <font>
      <sz val="11"/>
      <color rgb="FF000000"/>
      <name val="Inconsolata"/>
    </font>
    <font>
      <b/>
      <i/>
      <sz val="11"/>
      <color theme="1"/>
      <name val="Arial"/>
      <scheme val="minor"/>
    </font>
    <font>
      <b/>
      <sz val="11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E1E3E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/>
    <xf numFmtId="0" fontId="6" fillId="3" borderId="0" xfId="0" applyFont="1" applyFill="1"/>
    <xf numFmtId="0" fontId="6" fillId="4" borderId="0" xfId="0" applyFont="1" applyFill="1"/>
    <xf numFmtId="49" fontId="6" fillId="5" borderId="0" xfId="0" applyNumberFormat="1" applyFont="1" applyFill="1"/>
    <xf numFmtId="49" fontId="6" fillId="3" borderId="0" xfId="0" applyNumberFormat="1" applyFont="1" applyFill="1"/>
    <xf numFmtId="0" fontId="6" fillId="6" borderId="0" xfId="0" applyFont="1" applyFill="1"/>
    <xf numFmtId="0" fontId="6" fillId="7" borderId="0" xfId="0" applyFont="1" applyFill="1"/>
    <xf numFmtId="0" fontId="7" fillId="6" borderId="0" xfId="0" applyFont="1" applyFill="1"/>
    <xf numFmtId="0" fontId="8" fillId="6" borderId="0" xfId="0" applyFont="1" applyFill="1"/>
    <xf numFmtId="0" fontId="9" fillId="6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9" fontId="1" fillId="0" borderId="0" xfId="0" applyNumberFormat="1" applyFont="1"/>
    <xf numFmtId="0" fontId="12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3" fillId="8" borderId="1" xfId="0" applyNumberFormat="1" applyFont="1" applyFill="1" applyBorder="1" applyAlignment="1">
      <alignment horizontal="right"/>
    </xf>
    <xf numFmtId="9" fontId="14" fillId="9" borderId="0" xfId="0" applyNumberFormat="1" applyFont="1" applyFill="1" applyAlignment="1">
      <alignment horizontal="right" wrapText="1"/>
    </xf>
    <xf numFmtId="0" fontId="15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</cellXfs>
  <cellStyles count="1">
    <cellStyle name="Normal" xfId="0" builtinId="0"/>
  </cellStyles>
  <dxfs count="11">
    <dxf>
      <fill>
        <patternFill patternType="solid">
          <fgColor rgb="FFF9CB9C"/>
          <bgColor rgb="FFF9CB9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" defaultTableStyle="TableStyleMedium2" defaultPivotStyle="PivotStyleLight16">
    <tableStyle name="Sheet6-style" pivot="0" count="3" xr9:uid="{40A5DB52-E292-4BDD-843C-04057B93FF71}">
      <tableStyleElement type="headerRow" dxfId="10"/>
      <tableStyleElement type="firstRowStripe" dxfId="9"/>
      <tableStyleElement type="secondRowStripe" dxfId="8"/>
    </tableStyle>
    <tableStyle name="Sheet6-style 3" pivot="0" count="3" xr9:uid="{3BC74A28-0B50-4DBB-8B22-21AFC6DD5879}">
      <tableStyleElement type="headerRow" dxfId="7"/>
      <tableStyleElement type="firstRowStripe" dxfId="6"/>
      <tableStyleElement type="secondRowStripe" dxfId="5"/>
    </tableStyle>
    <tableStyle name="Sheet6-style 4" pivot="0" count="3" xr9:uid="{32772470-E5BB-4FCA-81EA-450CC2D91FC9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D7C8D-32FE-4CEE-815D-486C3E4080C2}" name="Table_1" displayName="Table_1" ref="A2:Y117" headerRowCount="0">
  <tableColumns count="25">
    <tableColumn id="1" xr3:uid="{CDD187C6-064E-47F6-A40D-0C1CEB33A4E7}" name="Column1"/>
    <tableColumn id="2" xr3:uid="{286750EA-F3C2-41DA-A09B-E0B8F8E799B8}" name="Column2"/>
    <tableColumn id="3" xr3:uid="{FB16CD74-76DD-4059-8F37-D7CDB3BDAB30}" name="Column3"/>
    <tableColumn id="4" xr3:uid="{2D977305-B050-426B-BE8C-12F15A5B42A9}" name="Column4"/>
    <tableColumn id="5" xr3:uid="{E6681637-DB96-4122-80C5-99DCAB6C7A12}" name="Column5"/>
    <tableColumn id="6" xr3:uid="{54B99CF4-BE93-484E-A397-AEAB4FDFE179}" name="Column6"/>
    <tableColumn id="7" xr3:uid="{97B9CC6A-BDF3-4962-97A8-F11D89A1D90E}" name="Column7"/>
    <tableColumn id="8" xr3:uid="{6383244A-9EF6-4872-8C95-D5619CC448B7}" name="Column8"/>
    <tableColumn id="9" xr3:uid="{909788C1-1763-4062-956D-FAD94BD085E6}" name="Column9"/>
    <tableColumn id="10" xr3:uid="{B0C30B7F-F9BE-4F5A-A4B8-0579892D8F46}" name="Column10"/>
    <tableColumn id="11" xr3:uid="{A3256E64-AB7A-4049-8DA0-312FAA55E309}" name="Column11"/>
    <tableColumn id="12" xr3:uid="{387FC51B-E33B-484E-943C-62DAD7590324}" name="Column12"/>
    <tableColumn id="13" xr3:uid="{FCA8E9B9-D672-4F4D-8FD0-043A91DE4D42}" name="Column13"/>
    <tableColumn id="14" xr3:uid="{6E4AAB0F-3A8E-4431-BA64-1C65D738EE49}" name="Column14"/>
    <tableColumn id="15" xr3:uid="{A003C94A-7AB9-4345-8E63-3E922549C99B}" name="Column15"/>
    <tableColumn id="16" xr3:uid="{F22037A9-6E01-4F4B-BE1C-19970C9F1BE4}" name="Column16"/>
    <tableColumn id="17" xr3:uid="{EE9ABF33-3045-4EA9-9DFD-71B9FEF13874}" name="Column17"/>
    <tableColumn id="18" xr3:uid="{4AC01743-8388-4784-B5D0-E226A4C46B12}" name="Column18"/>
    <tableColumn id="19" xr3:uid="{F57DC1A9-8C2F-4527-BE6B-2F8E360D8C0E}" name="Column19"/>
    <tableColumn id="20" xr3:uid="{773A6B64-C000-4A0F-9E7A-2065398157C7}" name="Column20"/>
    <tableColumn id="21" xr3:uid="{0C60F6B0-0FCA-4860-9B93-CABE70744AF0}" name="Column21"/>
    <tableColumn id="22" xr3:uid="{8FA1278A-FE81-4296-9593-8EDD07B2FAFF}" name="Column22"/>
    <tableColumn id="23" xr3:uid="{C702C4C6-2452-46B8-BA6B-72C85C16000C}" name="Column23"/>
    <tableColumn id="24" xr3:uid="{7119009F-EE6B-4946-B8E5-BF0A773A73E8}" name="Column24"/>
    <tableColumn id="25" xr3:uid="{DDF199A0-839A-4102-A447-F255F924B985}" name="Column25"/>
  </tableColumns>
  <tableStyleInfo name="Sheet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32B0C-8AB1-40B1-96A4-A30E13B7F339}" name="Table_3" displayName="Table_3" ref="A128:W132" headerRowCount="0">
  <tableColumns count="23">
    <tableColumn id="1" xr3:uid="{847CD32C-A8C8-4E70-96D3-87FE2E44BEAD}" name="Column1"/>
    <tableColumn id="2" xr3:uid="{001038CC-51B4-415F-B9D9-99B3297F9ACC}" name="Column2"/>
    <tableColumn id="3" xr3:uid="{AEEDCD8F-BB62-4DF5-BF39-6F401D9BA412}" name="Column3"/>
    <tableColumn id="4" xr3:uid="{8960371F-BD3B-4433-957B-1DDA41A0C5FB}" name="Column4"/>
    <tableColumn id="5" xr3:uid="{337E1C71-9F6B-4F17-807B-E16C645556B0}" name="Column5"/>
    <tableColumn id="6" xr3:uid="{304304DB-3588-42C4-917C-DCB654F7E8FB}" name="Column6"/>
    <tableColumn id="7" xr3:uid="{AE023591-3BD3-4A4D-91D5-050D3DD1733E}" name="Column7"/>
    <tableColumn id="8" xr3:uid="{374BCD41-FE39-4DFD-8634-DE2A18F44314}" name="Column8"/>
    <tableColumn id="9" xr3:uid="{CF4CA7FB-1EC6-4598-8CD9-ABD02D8C22D4}" name="Column9"/>
    <tableColumn id="10" xr3:uid="{42CC6763-A82D-4A60-AFCF-92FA79E80E7A}" name="Column10"/>
    <tableColumn id="11" xr3:uid="{8455D564-E892-4E6A-8904-9439A756F830}" name="Column11"/>
    <tableColumn id="12" xr3:uid="{16267A34-CE04-4A7B-BC4D-2616E38ADE71}" name="Column12"/>
    <tableColumn id="13" xr3:uid="{7912F9ED-4CCA-4961-829E-BC5C51E0F94B}" name="Column13"/>
    <tableColumn id="14" xr3:uid="{1D61B23E-1C5C-4500-9338-159CF1AF6C00}" name="Column14"/>
    <tableColumn id="15" xr3:uid="{EB68654B-7BCA-43ED-8920-2A53BD240D0F}" name="Column15"/>
    <tableColumn id="16" xr3:uid="{307484ED-F4BF-4797-B9FB-95F991F8C024}" name="Column16"/>
    <tableColumn id="17" xr3:uid="{1BDF0B9C-0109-4D9F-83CF-B4F3A9CA19EA}" name="Column17"/>
    <tableColumn id="18" xr3:uid="{8BD3C0E7-4D98-4D9F-A79C-31E0C771A4F3}" name="Column18"/>
    <tableColumn id="19" xr3:uid="{6DB591CE-B3BB-45C4-AA68-1D678C3124E3}" name="Column19"/>
    <tableColumn id="20" xr3:uid="{5C67A21C-4DC6-4764-80E0-AF780BAE79E3}" name="Column20"/>
    <tableColumn id="21" xr3:uid="{4C78BAC9-951B-47AE-BDD4-3ADF97ABF14D}" name="Column21"/>
    <tableColumn id="22" xr3:uid="{6875F2B2-B770-4237-A2A5-B189445132D7}" name="Column22"/>
    <tableColumn id="23" xr3:uid="{E27BEA16-0936-4921-96F5-797C844E620F}" name="Column23"/>
  </tableColumns>
  <tableStyleInfo name="Sheet6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F950BA-036E-4124-80B3-0CD53A1B6B48}" name="Table_4" displayName="Table_4" ref="A136:C141" headerRowCount="0">
  <tableColumns count="3">
    <tableColumn id="1" xr3:uid="{6C690E0E-5690-47D5-B714-40F8FB33054F}" name="Column1"/>
    <tableColumn id="2" xr3:uid="{5D3764EA-49AB-4ED5-9287-8CA7D85B1DF0}" name="Column2"/>
    <tableColumn id="3" xr3:uid="{63435CBB-959D-426B-A00A-8B7EA7BF1388}" name="Column3"/>
  </tableColumns>
  <tableStyleInfo name="Sheet6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2572-11A8-44B7-9E54-54F45CAF9B87}">
  <sheetPr>
    <outlinePr summaryBelow="0" summaryRight="0"/>
  </sheetPr>
  <dimension ref="A1:Y141"/>
  <sheetViews>
    <sheetView tabSelected="1" topLeftCell="A23" zoomScale="61" zoomScaleNormal="61" workbookViewId="0"/>
  </sheetViews>
  <sheetFormatPr defaultColWidth="12.6640625" defaultRowHeight="15.75" customHeight="1" x14ac:dyDescent="0.25"/>
  <cols>
    <col min="1" max="1" width="38.33203125" customWidth="1"/>
    <col min="25" max="25" width="24" customWidth="1"/>
  </cols>
  <sheetData>
    <row r="1" spans="1:25" ht="13.2" x14ac:dyDescent="0.25">
      <c r="A1" s="1" t="s">
        <v>0</v>
      </c>
    </row>
    <row r="2" spans="1:25" ht="15.75" customHeight="1" x14ac:dyDescent="0.3">
      <c r="A2" s="2" t="s">
        <v>1</v>
      </c>
      <c r="B2" s="3">
        <v>45931</v>
      </c>
      <c r="C2" s="3">
        <v>45932</v>
      </c>
      <c r="D2" s="3">
        <v>45933</v>
      </c>
      <c r="E2" s="3">
        <v>45934</v>
      </c>
      <c r="F2" s="3">
        <v>45937</v>
      </c>
      <c r="G2" s="4" t="s">
        <v>2</v>
      </c>
      <c r="H2" s="3">
        <v>45939</v>
      </c>
      <c r="I2" s="3">
        <v>45940</v>
      </c>
      <c r="J2" s="3">
        <v>45941</v>
      </c>
      <c r="K2" s="3">
        <v>45944</v>
      </c>
      <c r="L2" s="3">
        <v>45945</v>
      </c>
      <c r="M2" s="3">
        <v>45946</v>
      </c>
      <c r="N2" s="3">
        <v>45947</v>
      </c>
      <c r="O2" s="3">
        <v>45948</v>
      </c>
      <c r="P2" s="3">
        <v>45951</v>
      </c>
      <c r="Q2" s="3">
        <v>45952</v>
      </c>
      <c r="R2" s="3">
        <v>45953</v>
      </c>
      <c r="S2" s="3">
        <v>45954</v>
      </c>
      <c r="T2" s="3">
        <v>45955</v>
      </c>
      <c r="U2" s="3">
        <v>45958</v>
      </c>
      <c r="V2" s="3">
        <v>45959</v>
      </c>
      <c r="W2" s="3">
        <v>45960</v>
      </c>
      <c r="X2" s="4"/>
      <c r="Y2" s="4"/>
    </row>
    <row r="3" spans="1:25" ht="15.75" customHeight="1" x14ac:dyDescent="0.3">
      <c r="A3" s="5" t="s">
        <v>3</v>
      </c>
      <c r="B3" s="1">
        <v>1</v>
      </c>
      <c r="C3" s="1">
        <v>2</v>
      </c>
      <c r="D3" s="1">
        <v>2</v>
      </c>
      <c r="E3" s="1">
        <v>1</v>
      </c>
      <c r="F3" s="1">
        <v>2</v>
      </c>
      <c r="G3" s="1">
        <v>2</v>
      </c>
      <c r="H3" s="1">
        <v>1</v>
      </c>
      <c r="I3" s="1">
        <v>1</v>
      </c>
      <c r="J3" s="1">
        <v>1</v>
      </c>
      <c r="K3" s="1">
        <v>2</v>
      </c>
      <c r="L3" s="1">
        <v>2</v>
      </c>
      <c r="M3" s="1">
        <v>2</v>
      </c>
      <c r="N3" s="1">
        <v>2</v>
      </c>
      <c r="O3" s="1">
        <v>2</v>
      </c>
      <c r="P3" s="1">
        <v>2</v>
      </c>
      <c r="Q3" s="1">
        <v>2</v>
      </c>
      <c r="R3" s="1">
        <v>2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/>
      <c r="Y3" s="1">
        <v>5</v>
      </c>
    </row>
    <row r="4" spans="1:25" ht="15.75" customHeight="1" x14ac:dyDescent="0.3">
      <c r="A4" s="6" t="s">
        <v>4</v>
      </c>
      <c r="B4" s="1">
        <v>2</v>
      </c>
      <c r="C4" s="1">
        <v>2</v>
      </c>
      <c r="D4" s="1">
        <v>2</v>
      </c>
      <c r="E4" s="1"/>
      <c r="F4" s="1">
        <v>2</v>
      </c>
      <c r="G4" s="1">
        <v>2</v>
      </c>
      <c r="H4" s="1">
        <v>1</v>
      </c>
      <c r="I4" s="1">
        <v>2</v>
      </c>
      <c r="J4" s="1">
        <v>2</v>
      </c>
      <c r="K4" s="1">
        <v>2</v>
      </c>
      <c r="L4" s="1">
        <v>2</v>
      </c>
      <c r="M4" s="1">
        <v>2</v>
      </c>
      <c r="N4" s="1">
        <v>1</v>
      </c>
      <c r="O4" s="1">
        <v>2</v>
      </c>
      <c r="P4" s="1">
        <v>2</v>
      </c>
      <c r="Q4" s="1">
        <v>2</v>
      </c>
      <c r="R4" s="1">
        <v>1</v>
      </c>
      <c r="S4" s="1">
        <v>2</v>
      </c>
      <c r="T4" s="1">
        <v>2</v>
      </c>
      <c r="U4" s="1">
        <v>2</v>
      </c>
      <c r="V4" s="1">
        <v>2</v>
      </c>
      <c r="W4" s="1">
        <v>2</v>
      </c>
      <c r="X4" s="1"/>
      <c r="Y4" s="1">
        <v>3</v>
      </c>
    </row>
    <row r="5" spans="1:25" ht="15.75" customHeight="1" x14ac:dyDescent="0.3">
      <c r="A5" s="5" t="s">
        <v>5</v>
      </c>
      <c r="B5" s="1">
        <v>1</v>
      </c>
      <c r="C5" s="1">
        <v>1</v>
      </c>
      <c r="D5" s="1">
        <v>1</v>
      </c>
      <c r="E5" s="1">
        <v>1</v>
      </c>
      <c r="F5" s="1">
        <v>2</v>
      </c>
      <c r="G5" s="1">
        <v>2</v>
      </c>
      <c r="H5" s="1">
        <v>0</v>
      </c>
      <c r="I5" s="1">
        <v>0</v>
      </c>
      <c r="J5" s="1">
        <v>2</v>
      </c>
      <c r="K5" s="1">
        <v>2</v>
      </c>
      <c r="L5" s="1">
        <v>2</v>
      </c>
      <c r="M5" s="1">
        <v>2</v>
      </c>
      <c r="N5" s="1">
        <v>1</v>
      </c>
      <c r="O5" s="1">
        <v>0</v>
      </c>
      <c r="P5" s="1">
        <v>0</v>
      </c>
      <c r="Q5" s="1">
        <v>2</v>
      </c>
      <c r="R5" s="1">
        <v>2</v>
      </c>
      <c r="S5" s="1">
        <v>0</v>
      </c>
      <c r="T5" s="1">
        <v>0</v>
      </c>
      <c r="U5" s="1">
        <v>2</v>
      </c>
      <c r="V5" s="1">
        <v>0</v>
      </c>
      <c r="W5" s="1">
        <v>2</v>
      </c>
      <c r="X5" s="1"/>
      <c r="Y5" s="1">
        <v>4</v>
      </c>
    </row>
    <row r="6" spans="1:25" ht="15.75" customHeight="1" x14ac:dyDescent="0.3">
      <c r="A6" s="6" t="s">
        <v>6</v>
      </c>
      <c r="B6" s="1">
        <v>2</v>
      </c>
      <c r="C6" s="1">
        <v>1</v>
      </c>
      <c r="D6" s="1">
        <v>2</v>
      </c>
      <c r="E6" s="1"/>
      <c r="F6" s="1">
        <v>2</v>
      </c>
      <c r="G6" s="1">
        <v>2</v>
      </c>
      <c r="H6" s="1">
        <v>2</v>
      </c>
      <c r="I6" s="1">
        <v>1</v>
      </c>
      <c r="J6" s="1">
        <v>1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2</v>
      </c>
      <c r="Q6" s="1">
        <v>2</v>
      </c>
      <c r="R6" s="1">
        <v>1</v>
      </c>
      <c r="S6" s="1">
        <v>2</v>
      </c>
      <c r="T6" s="1">
        <v>2</v>
      </c>
      <c r="U6" s="1">
        <v>2</v>
      </c>
      <c r="V6" s="1">
        <v>2</v>
      </c>
      <c r="W6" s="1">
        <v>2</v>
      </c>
      <c r="X6" s="1"/>
      <c r="Y6" s="1"/>
    </row>
    <row r="7" spans="1:25" ht="15.75" customHeight="1" x14ac:dyDescent="0.3">
      <c r="A7" s="6" t="s">
        <v>7</v>
      </c>
      <c r="B7" s="1">
        <v>2</v>
      </c>
      <c r="C7" s="1">
        <v>1</v>
      </c>
      <c r="D7" s="1">
        <v>2</v>
      </c>
      <c r="E7" s="1"/>
      <c r="F7" s="1">
        <v>2</v>
      </c>
      <c r="G7" s="1">
        <v>2</v>
      </c>
      <c r="H7" s="1">
        <v>2</v>
      </c>
      <c r="I7" s="1">
        <v>1</v>
      </c>
      <c r="J7" s="1">
        <v>1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>
        <v>1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/>
      <c r="Y7" s="1"/>
    </row>
    <row r="8" spans="1:25" ht="15.75" customHeight="1" x14ac:dyDescent="0.3">
      <c r="A8" s="5" t="s">
        <v>8</v>
      </c>
      <c r="B8" s="1">
        <v>2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H8" s="1">
        <v>2</v>
      </c>
      <c r="I8" s="1">
        <v>2</v>
      </c>
      <c r="J8" s="1">
        <v>2</v>
      </c>
      <c r="K8" s="1">
        <v>1</v>
      </c>
      <c r="L8" s="1">
        <v>0</v>
      </c>
      <c r="M8" s="1">
        <v>2</v>
      </c>
      <c r="N8" s="1">
        <v>2</v>
      </c>
      <c r="O8" s="1">
        <v>1</v>
      </c>
      <c r="P8" s="1">
        <v>2</v>
      </c>
      <c r="Q8" s="1">
        <v>1</v>
      </c>
      <c r="R8" s="1">
        <v>1</v>
      </c>
      <c r="S8" s="1">
        <v>2</v>
      </c>
      <c r="T8" s="1">
        <v>2</v>
      </c>
      <c r="U8" s="1">
        <v>2</v>
      </c>
      <c r="V8" s="1">
        <v>2</v>
      </c>
      <c r="W8" s="1">
        <v>2</v>
      </c>
      <c r="X8" s="1"/>
      <c r="Y8" s="1"/>
    </row>
    <row r="9" spans="1:25" ht="15.75" customHeight="1" x14ac:dyDescent="0.3">
      <c r="A9" s="5" t="s">
        <v>9</v>
      </c>
      <c r="B9" s="1">
        <v>1</v>
      </c>
      <c r="C9" s="1">
        <v>2</v>
      </c>
      <c r="D9" s="1">
        <v>1</v>
      </c>
      <c r="E9" s="1">
        <v>1</v>
      </c>
      <c r="F9" s="1">
        <v>2</v>
      </c>
      <c r="G9" s="1">
        <v>2</v>
      </c>
      <c r="H9" s="1">
        <v>2</v>
      </c>
      <c r="I9" s="1">
        <v>2</v>
      </c>
      <c r="J9" s="1">
        <v>2</v>
      </c>
      <c r="K9" s="1">
        <v>2</v>
      </c>
      <c r="L9" s="1">
        <v>2</v>
      </c>
      <c r="M9" s="1">
        <v>1</v>
      </c>
      <c r="N9" s="1">
        <v>2</v>
      </c>
      <c r="O9" s="1">
        <v>1</v>
      </c>
      <c r="P9" s="1">
        <v>2</v>
      </c>
      <c r="Q9" s="1">
        <v>1</v>
      </c>
      <c r="R9" s="1">
        <v>2</v>
      </c>
      <c r="S9" s="1">
        <v>1</v>
      </c>
      <c r="T9" s="1">
        <v>2</v>
      </c>
      <c r="U9" s="1">
        <v>2</v>
      </c>
      <c r="V9" s="1">
        <v>2</v>
      </c>
      <c r="W9" s="1">
        <v>2</v>
      </c>
      <c r="X9" s="1"/>
      <c r="Y9" s="1"/>
    </row>
    <row r="10" spans="1:25" ht="15.75" customHeight="1" x14ac:dyDescent="0.3">
      <c r="A10" s="6" t="s">
        <v>10</v>
      </c>
      <c r="B10" s="1">
        <v>2</v>
      </c>
      <c r="C10" s="1">
        <v>2</v>
      </c>
      <c r="D10" s="1">
        <v>2</v>
      </c>
      <c r="E10" s="1"/>
      <c r="F10" s="1">
        <v>2</v>
      </c>
      <c r="G10" s="1">
        <v>2</v>
      </c>
      <c r="H10" s="1">
        <v>0</v>
      </c>
      <c r="I10" s="1">
        <v>2</v>
      </c>
      <c r="J10" s="1">
        <v>1</v>
      </c>
      <c r="K10" s="1">
        <v>2</v>
      </c>
      <c r="L10" s="1">
        <v>2</v>
      </c>
      <c r="M10" s="1">
        <v>2</v>
      </c>
      <c r="N10" s="1">
        <v>1</v>
      </c>
      <c r="O10" s="1">
        <v>0</v>
      </c>
      <c r="P10" s="1">
        <v>2</v>
      </c>
      <c r="Q10" s="1">
        <v>2</v>
      </c>
      <c r="R10" s="1">
        <v>2</v>
      </c>
      <c r="S10" s="1">
        <v>2</v>
      </c>
      <c r="T10" s="1">
        <v>1</v>
      </c>
      <c r="U10" s="1">
        <v>2</v>
      </c>
      <c r="V10" s="1">
        <v>2</v>
      </c>
      <c r="W10" s="1">
        <v>2</v>
      </c>
      <c r="X10" s="1"/>
      <c r="Y10" s="1"/>
    </row>
    <row r="11" spans="1:25" ht="15.75" customHeight="1" x14ac:dyDescent="0.3">
      <c r="A11" s="5" t="s">
        <v>11</v>
      </c>
      <c r="B11" s="1">
        <v>2</v>
      </c>
      <c r="C11" s="1">
        <v>2</v>
      </c>
      <c r="D11" s="1">
        <v>1</v>
      </c>
      <c r="E11" s="1">
        <v>1</v>
      </c>
      <c r="F11" s="1">
        <v>2</v>
      </c>
      <c r="G11" s="1">
        <v>2</v>
      </c>
      <c r="H11" s="1">
        <v>2</v>
      </c>
      <c r="I11" s="1">
        <v>0</v>
      </c>
      <c r="J11" s="1">
        <v>2</v>
      </c>
      <c r="K11" s="1">
        <v>2</v>
      </c>
      <c r="L11" s="1">
        <v>2</v>
      </c>
      <c r="M11" s="1">
        <v>2</v>
      </c>
      <c r="N11" s="1">
        <v>1</v>
      </c>
      <c r="O11" s="1">
        <v>1</v>
      </c>
      <c r="P11" s="1">
        <v>0</v>
      </c>
      <c r="Q11" s="1">
        <v>1</v>
      </c>
      <c r="R11" s="1">
        <v>2</v>
      </c>
      <c r="S11" s="1">
        <v>2</v>
      </c>
      <c r="T11" s="1">
        <v>2</v>
      </c>
      <c r="U11" s="1">
        <v>2</v>
      </c>
      <c r="V11" s="1">
        <v>2</v>
      </c>
      <c r="W11" s="1">
        <v>2</v>
      </c>
      <c r="X11" s="1"/>
      <c r="Y11" s="1"/>
    </row>
    <row r="12" spans="1:25" ht="15.75" customHeight="1" x14ac:dyDescent="0.3">
      <c r="A12" s="5" t="s">
        <v>12</v>
      </c>
      <c r="B12" s="1">
        <v>1</v>
      </c>
      <c r="C12" s="1">
        <v>2</v>
      </c>
      <c r="D12" s="1">
        <v>1</v>
      </c>
      <c r="E12" s="1"/>
      <c r="F12" s="1">
        <v>2</v>
      </c>
      <c r="G12" s="1">
        <v>2</v>
      </c>
      <c r="H12" s="1">
        <v>2</v>
      </c>
      <c r="I12" s="1">
        <v>2</v>
      </c>
      <c r="J12" s="1">
        <v>1</v>
      </c>
      <c r="K12" s="1">
        <v>2</v>
      </c>
      <c r="L12" s="1">
        <v>2</v>
      </c>
      <c r="M12" s="1">
        <v>2</v>
      </c>
      <c r="N12" s="1">
        <v>1</v>
      </c>
      <c r="O12" s="1">
        <v>2</v>
      </c>
      <c r="P12" s="1">
        <v>2</v>
      </c>
      <c r="Q12" s="1">
        <v>1</v>
      </c>
      <c r="R12" s="1">
        <v>0</v>
      </c>
      <c r="S12" s="1">
        <v>0</v>
      </c>
      <c r="T12" s="1">
        <v>1</v>
      </c>
      <c r="U12" s="1">
        <v>2</v>
      </c>
      <c r="V12" s="1">
        <v>2</v>
      </c>
      <c r="W12" s="1">
        <v>2</v>
      </c>
      <c r="X12" s="1"/>
      <c r="Y12" s="1"/>
    </row>
    <row r="13" spans="1:25" ht="15.75" customHeight="1" x14ac:dyDescent="0.3">
      <c r="A13" s="6" t="s">
        <v>13</v>
      </c>
      <c r="B13" s="1">
        <v>2</v>
      </c>
      <c r="C13" s="1">
        <v>1</v>
      </c>
      <c r="D13" s="1">
        <v>1</v>
      </c>
      <c r="E13" s="1"/>
      <c r="F13" s="1">
        <v>2</v>
      </c>
      <c r="G13" s="1">
        <v>1</v>
      </c>
      <c r="H13" s="1">
        <v>2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2</v>
      </c>
      <c r="Q13" s="1">
        <v>2</v>
      </c>
      <c r="R13" s="1">
        <v>2</v>
      </c>
      <c r="S13" s="1">
        <v>2</v>
      </c>
      <c r="T13" s="1">
        <v>2</v>
      </c>
      <c r="U13" s="1">
        <v>2</v>
      </c>
      <c r="V13" s="1">
        <v>2</v>
      </c>
      <c r="W13" s="1">
        <v>2</v>
      </c>
      <c r="X13" s="1"/>
      <c r="Y13" s="1"/>
    </row>
    <row r="14" spans="1:25" ht="15.75" customHeight="1" x14ac:dyDescent="0.3">
      <c r="A14" s="5" t="s">
        <v>14</v>
      </c>
      <c r="B14" s="1">
        <v>2</v>
      </c>
      <c r="C14" s="1">
        <v>2</v>
      </c>
      <c r="D14" s="1">
        <v>2</v>
      </c>
      <c r="E14" s="1"/>
      <c r="F14" s="1">
        <v>2</v>
      </c>
      <c r="G14" s="1">
        <v>2</v>
      </c>
      <c r="H14" s="1">
        <v>0</v>
      </c>
      <c r="I14" s="1">
        <v>0</v>
      </c>
      <c r="J14" s="1">
        <v>1</v>
      </c>
      <c r="K14" s="1">
        <v>2</v>
      </c>
      <c r="L14" s="1">
        <v>2</v>
      </c>
      <c r="M14" s="1">
        <v>2</v>
      </c>
      <c r="N14" s="1">
        <v>0</v>
      </c>
      <c r="O14" s="1">
        <v>2</v>
      </c>
      <c r="P14" s="1">
        <v>0</v>
      </c>
      <c r="Q14" s="1">
        <v>2</v>
      </c>
      <c r="R14" s="1">
        <v>2</v>
      </c>
      <c r="S14" s="1">
        <v>2</v>
      </c>
      <c r="T14" s="1">
        <v>0</v>
      </c>
      <c r="U14" s="1">
        <v>2</v>
      </c>
      <c r="V14" s="1">
        <v>2</v>
      </c>
      <c r="W14" s="1">
        <v>2</v>
      </c>
      <c r="X14" s="1"/>
      <c r="Y14" s="1"/>
    </row>
    <row r="15" spans="1:25" ht="15.75" customHeight="1" x14ac:dyDescent="0.3">
      <c r="A15" s="5" t="s">
        <v>15</v>
      </c>
      <c r="B15" s="1">
        <v>1</v>
      </c>
      <c r="C15" s="1">
        <v>2</v>
      </c>
      <c r="D15" s="1">
        <v>2</v>
      </c>
      <c r="E15" s="1"/>
      <c r="F15" s="1">
        <v>2</v>
      </c>
      <c r="G15" s="1">
        <v>0</v>
      </c>
      <c r="H15" s="1">
        <v>0</v>
      </c>
      <c r="I15" s="1">
        <v>0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2</v>
      </c>
      <c r="P15" s="1">
        <v>1</v>
      </c>
      <c r="Q15" s="1">
        <v>1</v>
      </c>
      <c r="R15" s="1">
        <v>2</v>
      </c>
      <c r="S15" s="1">
        <v>2</v>
      </c>
      <c r="T15" s="1">
        <v>0</v>
      </c>
      <c r="U15" s="1">
        <v>1</v>
      </c>
      <c r="V15" s="1">
        <v>2</v>
      </c>
      <c r="W15" s="1">
        <v>2</v>
      </c>
      <c r="X15" s="1"/>
      <c r="Y15" s="1"/>
    </row>
    <row r="16" spans="1:25" ht="15.75" customHeight="1" x14ac:dyDescent="0.3">
      <c r="A16" s="5" t="s">
        <v>16</v>
      </c>
      <c r="B16" s="1">
        <v>2</v>
      </c>
      <c r="C16" s="1">
        <v>1</v>
      </c>
      <c r="D16" s="1">
        <v>2</v>
      </c>
      <c r="E16" s="1">
        <v>1</v>
      </c>
      <c r="F16" s="1">
        <v>2</v>
      </c>
      <c r="G16" s="1">
        <v>1</v>
      </c>
      <c r="H16" s="1">
        <v>2</v>
      </c>
      <c r="I16" s="1">
        <v>1</v>
      </c>
      <c r="J16" s="1">
        <v>1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1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/>
      <c r="Y16" s="1"/>
    </row>
    <row r="17" spans="1:25" ht="15.75" customHeight="1" x14ac:dyDescent="0.3">
      <c r="A17" s="5" t="s">
        <v>17</v>
      </c>
      <c r="B17" s="1">
        <v>2</v>
      </c>
      <c r="C17" s="1">
        <v>2</v>
      </c>
      <c r="D17" s="1">
        <v>2</v>
      </c>
      <c r="E17" s="1"/>
      <c r="F17" s="1">
        <v>2</v>
      </c>
      <c r="G17" s="1">
        <v>2</v>
      </c>
      <c r="H17" s="1">
        <v>2</v>
      </c>
      <c r="I17" s="1">
        <v>2</v>
      </c>
      <c r="J17" s="1">
        <v>1</v>
      </c>
      <c r="K17" s="1">
        <v>2</v>
      </c>
      <c r="L17" s="1">
        <v>2</v>
      </c>
      <c r="M17" s="1">
        <v>2</v>
      </c>
      <c r="N17" s="1">
        <v>2</v>
      </c>
      <c r="O17" s="1">
        <v>2</v>
      </c>
      <c r="P17" s="1">
        <v>2</v>
      </c>
      <c r="Q17" s="1">
        <v>1</v>
      </c>
      <c r="R17" s="1">
        <v>2</v>
      </c>
      <c r="S17" s="1">
        <v>2</v>
      </c>
      <c r="T17" s="1">
        <v>0</v>
      </c>
      <c r="U17" s="1">
        <v>0</v>
      </c>
      <c r="V17" s="1">
        <v>1</v>
      </c>
      <c r="W17" s="1">
        <v>1</v>
      </c>
      <c r="X17" s="1"/>
      <c r="Y17" s="1"/>
    </row>
    <row r="18" spans="1:25" ht="15.75" customHeight="1" x14ac:dyDescent="0.3">
      <c r="A18" s="5" t="s">
        <v>18</v>
      </c>
      <c r="B18" s="1">
        <v>0</v>
      </c>
      <c r="C18" s="1">
        <v>2</v>
      </c>
      <c r="D18" s="1">
        <v>2</v>
      </c>
      <c r="E18" s="1"/>
      <c r="F18" s="1">
        <v>2</v>
      </c>
      <c r="G18" s="1">
        <v>2</v>
      </c>
      <c r="H18" s="1">
        <v>0</v>
      </c>
      <c r="I18" s="1">
        <v>1</v>
      </c>
      <c r="J18" s="1">
        <v>1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1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  <c r="W18" s="1">
        <v>2</v>
      </c>
      <c r="X18" s="1"/>
      <c r="Y18" s="1"/>
    </row>
    <row r="19" spans="1:25" ht="15.75" customHeight="1" x14ac:dyDescent="0.3">
      <c r="A19" s="5" t="s">
        <v>19</v>
      </c>
      <c r="B19" s="1">
        <v>2</v>
      </c>
      <c r="C19" s="1">
        <v>2</v>
      </c>
      <c r="D19" s="1">
        <v>2</v>
      </c>
      <c r="E19" s="1"/>
      <c r="F19" s="1">
        <v>2</v>
      </c>
      <c r="G19" s="1">
        <v>2</v>
      </c>
      <c r="H19" s="1">
        <v>2</v>
      </c>
      <c r="I19" s="1">
        <v>2</v>
      </c>
      <c r="J19" s="1">
        <v>2</v>
      </c>
      <c r="K19" s="1">
        <v>2</v>
      </c>
      <c r="L19" s="1">
        <v>2</v>
      </c>
      <c r="M19" s="1">
        <v>2</v>
      </c>
      <c r="N19" s="1">
        <v>0</v>
      </c>
      <c r="O19" s="1">
        <v>0</v>
      </c>
      <c r="P19" s="1">
        <v>2</v>
      </c>
      <c r="Q19" s="1">
        <v>1</v>
      </c>
      <c r="R19" s="1">
        <v>2</v>
      </c>
      <c r="S19" s="1">
        <v>0</v>
      </c>
      <c r="T19" s="1">
        <v>2</v>
      </c>
      <c r="U19" s="1">
        <v>2</v>
      </c>
      <c r="V19" s="1">
        <v>2</v>
      </c>
      <c r="W19" s="1">
        <v>2</v>
      </c>
      <c r="X19" s="1"/>
      <c r="Y19" s="1"/>
    </row>
    <row r="20" spans="1:25" ht="15.75" customHeight="1" x14ac:dyDescent="0.3">
      <c r="A20" s="5" t="s">
        <v>20</v>
      </c>
      <c r="B20" s="1">
        <v>1</v>
      </c>
      <c r="C20" s="1">
        <v>1</v>
      </c>
      <c r="D20" s="1">
        <v>2</v>
      </c>
      <c r="E20" s="1">
        <v>1</v>
      </c>
      <c r="F20" s="1">
        <v>2</v>
      </c>
      <c r="G20" s="1">
        <v>2</v>
      </c>
      <c r="H20" s="1">
        <v>2</v>
      </c>
      <c r="I20" s="1">
        <v>2</v>
      </c>
      <c r="J20" s="1">
        <v>2</v>
      </c>
      <c r="K20" s="1">
        <v>2</v>
      </c>
      <c r="L20" s="1">
        <v>2</v>
      </c>
      <c r="M20" s="1">
        <v>2</v>
      </c>
      <c r="N20" s="1">
        <v>2</v>
      </c>
      <c r="O20" s="1">
        <v>2</v>
      </c>
      <c r="P20" s="1">
        <v>2</v>
      </c>
      <c r="Q20" s="1">
        <v>2</v>
      </c>
      <c r="R20" s="1">
        <v>2</v>
      </c>
      <c r="S20" s="1">
        <v>2</v>
      </c>
      <c r="T20" s="1">
        <v>2</v>
      </c>
      <c r="U20" s="1">
        <v>2</v>
      </c>
      <c r="V20" s="1">
        <v>2</v>
      </c>
      <c r="W20" s="1">
        <v>2</v>
      </c>
      <c r="X20" s="1"/>
      <c r="Y20" s="1"/>
    </row>
    <row r="21" spans="1:25" ht="15.75" customHeight="1" x14ac:dyDescent="0.3">
      <c r="A21" s="5" t="s">
        <v>21</v>
      </c>
      <c r="B21" s="1">
        <v>2</v>
      </c>
      <c r="C21" s="1">
        <v>2</v>
      </c>
      <c r="D21" s="1">
        <v>1</v>
      </c>
      <c r="E21" s="1">
        <v>1</v>
      </c>
      <c r="F21" s="1">
        <v>1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2</v>
      </c>
      <c r="U21" s="1">
        <v>2</v>
      </c>
      <c r="V21" s="1">
        <v>2</v>
      </c>
      <c r="W21" s="1">
        <v>2</v>
      </c>
      <c r="X21" s="1"/>
      <c r="Y21" s="1"/>
    </row>
    <row r="22" spans="1:25" ht="15.75" customHeight="1" x14ac:dyDescent="0.3">
      <c r="A22" s="5" t="s">
        <v>22</v>
      </c>
      <c r="B22" s="1">
        <v>1</v>
      </c>
      <c r="C22" s="1">
        <v>2</v>
      </c>
      <c r="D22" s="1">
        <v>2</v>
      </c>
      <c r="E22" s="1"/>
      <c r="F22" s="1">
        <v>0</v>
      </c>
      <c r="G22" s="1">
        <v>2</v>
      </c>
      <c r="H22" s="1">
        <v>0</v>
      </c>
      <c r="I22" s="1">
        <v>2</v>
      </c>
      <c r="J22" s="1">
        <v>1</v>
      </c>
      <c r="K22" s="1">
        <v>2</v>
      </c>
      <c r="L22" s="1">
        <v>1</v>
      </c>
      <c r="M22" s="1">
        <v>1</v>
      </c>
      <c r="N22" s="1">
        <v>1</v>
      </c>
      <c r="O22" s="1">
        <v>2</v>
      </c>
      <c r="P22" s="1">
        <v>1</v>
      </c>
      <c r="Q22" s="1">
        <v>2</v>
      </c>
      <c r="R22" s="1">
        <v>2</v>
      </c>
      <c r="S22" s="1">
        <v>2</v>
      </c>
      <c r="T22" s="1">
        <v>2</v>
      </c>
      <c r="U22" s="1">
        <v>1</v>
      </c>
      <c r="V22" s="1">
        <v>0</v>
      </c>
      <c r="W22" s="1">
        <v>0</v>
      </c>
      <c r="X22" s="1"/>
      <c r="Y22" s="1"/>
    </row>
    <row r="23" spans="1:25" ht="15.75" customHeight="1" x14ac:dyDescent="0.3">
      <c r="A23" s="5" t="s">
        <v>23</v>
      </c>
      <c r="B23" s="1">
        <v>2</v>
      </c>
      <c r="C23" s="1">
        <v>2</v>
      </c>
      <c r="D23" s="1">
        <v>2</v>
      </c>
      <c r="E23" s="1"/>
      <c r="F23" s="1">
        <v>2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1</v>
      </c>
      <c r="M23" s="1">
        <v>1</v>
      </c>
      <c r="N23" s="1">
        <v>1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1">
        <v>2</v>
      </c>
      <c r="V23" s="1">
        <v>2</v>
      </c>
      <c r="W23" s="1">
        <v>2</v>
      </c>
      <c r="X23" s="1"/>
      <c r="Y23" s="1"/>
    </row>
    <row r="24" spans="1:25" ht="15.75" customHeight="1" x14ac:dyDescent="0.3">
      <c r="A24" s="5" t="s">
        <v>24</v>
      </c>
      <c r="B24" s="1">
        <v>2</v>
      </c>
      <c r="C24" s="1">
        <v>2</v>
      </c>
      <c r="D24" s="1">
        <v>2</v>
      </c>
      <c r="E24" s="1"/>
      <c r="F24" s="1">
        <v>2</v>
      </c>
      <c r="G24" s="1">
        <v>2</v>
      </c>
      <c r="H24" s="1">
        <v>2</v>
      </c>
      <c r="I24" s="1">
        <v>2</v>
      </c>
      <c r="J24" s="1">
        <v>2</v>
      </c>
      <c r="K24" s="1">
        <v>1</v>
      </c>
      <c r="L24" s="1">
        <v>1</v>
      </c>
      <c r="M24" s="1">
        <v>1</v>
      </c>
      <c r="N24" s="1">
        <v>1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/>
      <c r="Y24" s="1"/>
    </row>
    <row r="25" spans="1:25" ht="15.75" customHeight="1" x14ac:dyDescent="0.3">
      <c r="A25" s="5" t="s">
        <v>25</v>
      </c>
      <c r="B25" s="1">
        <v>2</v>
      </c>
      <c r="C25" s="1">
        <v>2</v>
      </c>
      <c r="D25" s="1">
        <v>2</v>
      </c>
      <c r="E25" s="1"/>
      <c r="F25" s="1">
        <v>2</v>
      </c>
      <c r="G25" s="1">
        <v>2</v>
      </c>
      <c r="H25" s="1">
        <v>0</v>
      </c>
      <c r="I25" s="1">
        <v>1</v>
      </c>
      <c r="J25" s="1">
        <v>2</v>
      </c>
      <c r="K25" s="1">
        <v>2</v>
      </c>
      <c r="L25" s="1">
        <v>2</v>
      </c>
      <c r="M25" s="1">
        <v>2</v>
      </c>
      <c r="N25" s="1">
        <v>2</v>
      </c>
      <c r="O25" s="1">
        <v>2</v>
      </c>
      <c r="P25" s="1">
        <v>2</v>
      </c>
      <c r="Q25" s="1">
        <v>2</v>
      </c>
      <c r="R25" s="1">
        <v>1</v>
      </c>
      <c r="S25" s="1">
        <v>2</v>
      </c>
      <c r="T25" s="1">
        <v>1</v>
      </c>
      <c r="U25" s="1">
        <v>2</v>
      </c>
      <c r="V25" s="1">
        <v>2</v>
      </c>
      <c r="W25" s="1">
        <v>2</v>
      </c>
      <c r="X25" s="1"/>
      <c r="Y25" s="1"/>
    </row>
    <row r="26" spans="1:25" ht="15.75" customHeight="1" x14ac:dyDescent="0.3">
      <c r="A26" s="6" t="s">
        <v>26</v>
      </c>
      <c r="B26" s="1">
        <v>1</v>
      </c>
      <c r="C26" s="1">
        <v>1</v>
      </c>
      <c r="D26" s="1">
        <v>1</v>
      </c>
      <c r="E26" s="1">
        <v>1</v>
      </c>
      <c r="F26" s="1">
        <v>2</v>
      </c>
      <c r="G26" s="1">
        <v>0</v>
      </c>
      <c r="H26" s="1">
        <v>2</v>
      </c>
      <c r="I26" s="1">
        <v>0</v>
      </c>
      <c r="J26" s="1">
        <v>2</v>
      </c>
      <c r="K26" s="1">
        <v>1</v>
      </c>
      <c r="L26" s="1">
        <v>1</v>
      </c>
      <c r="M26" s="1">
        <v>2</v>
      </c>
      <c r="N26" s="1">
        <v>2</v>
      </c>
      <c r="O26" s="1">
        <v>2</v>
      </c>
      <c r="P26" s="1">
        <v>2</v>
      </c>
      <c r="Q26" s="1"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W26" s="1">
        <v>2</v>
      </c>
      <c r="X26" s="1"/>
      <c r="Y26" s="1"/>
    </row>
    <row r="27" spans="1:25" ht="15.75" customHeight="1" x14ac:dyDescent="0.3">
      <c r="A27" s="5" t="s">
        <v>27</v>
      </c>
      <c r="B27" s="1">
        <v>1</v>
      </c>
      <c r="C27" s="1">
        <v>1</v>
      </c>
      <c r="D27" s="1">
        <v>2</v>
      </c>
      <c r="E27" s="1"/>
      <c r="F27" s="1">
        <v>2</v>
      </c>
      <c r="G27" s="1">
        <v>2</v>
      </c>
      <c r="H27" s="1">
        <v>2</v>
      </c>
      <c r="I27" s="1">
        <v>1</v>
      </c>
      <c r="J27" s="1">
        <v>1</v>
      </c>
      <c r="K27" s="1">
        <v>2</v>
      </c>
      <c r="L27" s="1">
        <v>2</v>
      </c>
      <c r="M27" s="1">
        <v>2</v>
      </c>
      <c r="N27" s="1">
        <v>2</v>
      </c>
      <c r="O27" s="1">
        <v>2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2</v>
      </c>
      <c r="V27" s="1">
        <v>2</v>
      </c>
      <c r="W27" s="1">
        <v>2</v>
      </c>
      <c r="X27" s="1"/>
      <c r="Y27" s="1"/>
    </row>
    <row r="28" spans="1:25" ht="15.75" customHeight="1" x14ac:dyDescent="0.3">
      <c r="A28" s="5" t="s">
        <v>28</v>
      </c>
      <c r="B28" s="1">
        <v>2</v>
      </c>
      <c r="C28" s="1">
        <v>2</v>
      </c>
      <c r="D28" s="1">
        <v>2</v>
      </c>
      <c r="E28" s="1"/>
      <c r="F28" s="1">
        <v>2</v>
      </c>
      <c r="G28" s="1">
        <v>2</v>
      </c>
      <c r="H28" s="1">
        <v>0</v>
      </c>
      <c r="I28" s="1">
        <v>0</v>
      </c>
      <c r="J28" s="1">
        <v>0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2</v>
      </c>
      <c r="R28" s="1">
        <v>2</v>
      </c>
      <c r="S28" s="1">
        <v>2</v>
      </c>
      <c r="T28" s="1">
        <v>2</v>
      </c>
      <c r="U28" s="1">
        <v>2</v>
      </c>
      <c r="V28" s="1">
        <v>2</v>
      </c>
      <c r="W28" s="1">
        <v>2</v>
      </c>
      <c r="X28" s="1"/>
      <c r="Y28" s="1"/>
    </row>
    <row r="29" spans="1:25" ht="14.4" x14ac:dyDescent="0.3">
      <c r="A29" s="7" t="s">
        <v>29</v>
      </c>
      <c r="B29" s="1">
        <v>2</v>
      </c>
      <c r="C29" s="1">
        <v>2</v>
      </c>
      <c r="D29" s="1">
        <v>2</v>
      </c>
      <c r="E29" s="1"/>
      <c r="F29" s="1">
        <v>2</v>
      </c>
      <c r="G29" s="1">
        <v>1</v>
      </c>
      <c r="H29" s="1">
        <v>0</v>
      </c>
      <c r="I29" s="1">
        <v>0</v>
      </c>
      <c r="J29" s="1">
        <v>2</v>
      </c>
      <c r="K29" s="1">
        <v>2</v>
      </c>
      <c r="L29" s="1">
        <v>2</v>
      </c>
      <c r="M29" s="1">
        <v>1</v>
      </c>
      <c r="N29" s="1">
        <v>2</v>
      </c>
      <c r="O29" s="1">
        <v>2</v>
      </c>
      <c r="P29" s="1">
        <v>2</v>
      </c>
      <c r="Q29" s="1">
        <v>1</v>
      </c>
      <c r="R29" s="1">
        <v>2</v>
      </c>
      <c r="S29" s="1">
        <v>1</v>
      </c>
      <c r="T29" s="1">
        <v>2</v>
      </c>
      <c r="U29" s="1">
        <v>1</v>
      </c>
      <c r="V29" s="1">
        <v>0</v>
      </c>
      <c r="W29" s="1">
        <v>2</v>
      </c>
      <c r="X29" s="1"/>
      <c r="Y29" s="1"/>
    </row>
    <row r="30" spans="1:25" ht="14.4" x14ac:dyDescent="0.3">
      <c r="A30" s="7" t="s">
        <v>30</v>
      </c>
      <c r="B30" s="1">
        <v>1</v>
      </c>
      <c r="C30" s="1">
        <v>2</v>
      </c>
      <c r="D30" s="1">
        <v>2</v>
      </c>
      <c r="E30" s="1"/>
      <c r="F30" s="1">
        <v>2</v>
      </c>
      <c r="G30" s="1">
        <v>2</v>
      </c>
      <c r="H30" s="1">
        <v>2</v>
      </c>
      <c r="I30" s="1">
        <v>0</v>
      </c>
      <c r="J30" s="1">
        <v>1</v>
      </c>
      <c r="K30" s="1">
        <v>2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2</v>
      </c>
      <c r="S30" s="1">
        <v>0</v>
      </c>
      <c r="T30" s="1">
        <v>1</v>
      </c>
      <c r="U30" s="1">
        <v>2</v>
      </c>
      <c r="V30" s="1">
        <v>2</v>
      </c>
      <c r="W30" s="1">
        <v>0</v>
      </c>
      <c r="X30" s="1"/>
      <c r="Y30" s="1"/>
    </row>
    <row r="31" spans="1:25" ht="14.4" x14ac:dyDescent="0.3">
      <c r="A31" s="7" t="s">
        <v>31</v>
      </c>
      <c r="B31" s="1">
        <v>2</v>
      </c>
      <c r="C31" s="1">
        <v>2</v>
      </c>
      <c r="D31" s="1">
        <v>2</v>
      </c>
      <c r="E31" s="1"/>
      <c r="F31" s="1">
        <v>2</v>
      </c>
      <c r="G31" s="1">
        <v>2</v>
      </c>
      <c r="H31" s="1">
        <v>2</v>
      </c>
      <c r="I31" s="1">
        <v>1</v>
      </c>
      <c r="J31" s="1">
        <v>1</v>
      </c>
      <c r="K31" s="1">
        <v>2</v>
      </c>
      <c r="L31" s="1">
        <v>2</v>
      </c>
      <c r="M31" s="1">
        <v>2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1</v>
      </c>
      <c r="U31" s="1">
        <v>2</v>
      </c>
      <c r="V31" s="1">
        <v>2</v>
      </c>
      <c r="W31" s="1">
        <v>2</v>
      </c>
      <c r="X31" s="1"/>
      <c r="Y31" s="1"/>
    </row>
    <row r="32" spans="1:25" ht="14.4" x14ac:dyDescent="0.3">
      <c r="A32" s="6" t="s">
        <v>32</v>
      </c>
      <c r="B32" s="1">
        <v>2</v>
      </c>
      <c r="C32" s="1">
        <v>2</v>
      </c>
      <c r="D32" s="1">
        <v>2</v>
      </c>
      <c r="E32" s="1"/>
      <c r="F32" s="1">
        <v>2</v>
      </c>
      <c r="G32" s="1">
        <v>2</v>
      </c>
      <c r="H32" s="1">
        <v>1</v>
      </c>
      <c r="I32" s="1">
        <v>2</v>
      </c>
      <c r="J32" s="1">
        <v>1</v>
      </c>
      <c r="K32" s="1">
        <v>2</v>
      </c>
      <c r="L32" s="1">
        <v>2</v>
      </c>
      <c r="M32" s="1">
        <v>1</v>
      </c>
      <c r="N32" s="1">
        <v>2</v>
      </c>
      <c r="O32" s="1">
        <v>2</v>
      </c>
      <c r="P32" s="1">
        <v>2</v>
      </c>
      <c r="Q32" s="1">
        <v>2</v>
      </c>
      <c r="R32" s="1">
        <v>1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/>
      <c r="Y32" s="1"/>
    </row>
    <row r="33" spans="1:25" ht="14.4" x14ac:dyDescent="0.3">
      <c r="A33" s="6" t="s">
        <v>33</v>
      </c>
      <c r="B33" s="1">
        <v>2</v>
      </c>
      <c r="C33" s="1">
        <v>2</v>
      </c>
      <c r="D33" s="1">
        <v>2</v>
      </c>
      <c r="E33" s="1"/>
      <c r="F33" s="1">
        <v>2</v>
      </c>
      <c r="G33" s="1">
        <v>0</v>
      </c>
      <c r="H33" s="1">
        <v>2</v>
      </c>
      <c r="I33" s="1">
        <v>2</v>
      </c>
      <c r="J33" s="1">
        <v>0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0</v>
      </c>
      <c r="T33" s="1">
        <v>2</v>
      </c>
      <c r="U33" s="1">
        <v>2</v>
      </c>
      <c r="V33" s="1">
        <v>2</v>
      </c>
      <c r="W33" s="1">
        <v>2</v>
      </c>
      <c r="X33" s="1"/>
      <c r="Y33" s="1"/>
    </row>
    <row r="34" spans="1:25" ht="14.4" x14ac:dyDescent="0.3">
      <c r="A34" s="7" t="s">
        <v>34</v>
      </c>
      <c r="B34" s="1">
        <v>1</v>
      </c>
      <c r="C34" s="1">
        <v>1</v>
      </c>
      <c r="D34" s="1">
        <v>2</v>
      </c>
      <c r="E34" s="1"/>
      <c r="F34" s="1">
        <v>2</v>
      </c>
      <c r="G34" s="1">
        <v>2</v>
      </c>
      <c r="H34" s="1">
        <v>2</v>
      </c>
      <c r="I34" s="1">
        <v>0</v>
      </c>
      <c r="J34" s="1">
        <v>2</v>
      </c>
      <c r="K34" s="1">
        <v>0</v>
      </c>
      <c r="L34" s="1">
        <v>2</v>
      </c>
      <c r="M34" s="1">
        <v>2</v>
      </c>
      <c r="N34" s="1">
        <v>2</v>
      </c>
      <c r="O34" s="1">
        <v>1</v>
      </c>
      <c r="P34" s="1">
        <v>2</v>
      </c>
      <c r="Q34" s="1">
        <v>2</v>
      </c>
      <c r="R34" s="1">
        <v>1</v>
      </c>
      <c r="S34" s="1">
        <v>2</v>
      </c>
      <c r="T34" s="1">
        <v>2</v>
      </c>
      <c r="U34" s="1">
        <v>2</v>
      </c>
      <c r="V34" s="1">
        <v>2</v>
      </c>
      <c r="W34" s="1">
        <v>2</v>
      </c>
      <c r="X34" s="1"/>
      <c r="Y34" s="1"/>
    </row>
    <row r="35" spans="1:25" ht="14.4" x14ac:dyDescent="0.3">
      <c r="A35" s="7" t="s">
        <v>35</v>
      </c>
      <c r="B35" s="1">
        <v>2</v>
      </c>
      <c r="C35" s="1">
        <v>2</v>
      </c>
      <c r="D35" s="1">
        <v>2</v>
      </c>
      <c r="E35" s="1"/>
      <c r="F35" s="1">
        <v>2</v>
      </c>
      <c r="G35" s="1">
        <v>2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2</v>
      </c>
      <c r="N35" s="1">
        <v>0</v>
      </c>
      <c r="O35" s="1">
        <v>1</v>
      </c>
      <c r="P35" s="1">
        <v>0</v>
      </c>
      <c r="Q35" s="1">
        <v>1</v>
      </c>
      <c r="R35" s="1">
        <v>2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/>
      <c r="Y35" s="1"/>
    </row>
    <row r="36" spans="1:25" ht="14.4" x14ac:dyDescent="0.3">
      <c r="A36" s="6" t="s">
        <v>36</v>
      </c>
      <c r="B36" s="1">
        <v>2</v>
      </c>
      <c r="C36" s="1">
        <v>2</v>
      </c>
      <c r="D36" s="1">
        <v>2</v>
      </c>
      <c r="E36" s="1"/>
      <c r="F36" s="1">
        <v>2</v>
      </c>
      <c r="G36" s="1">
        <v>2</v>
      </c>
      <c r="H36" s="1">
        <v>2</v>
      </c>
      <c r="I36" s="1">
        <v>1</v>
      </c>
      <c r="J36" s="1">
        <v>1</v>
      </c>
      <c r="K36" s="1">
        <v>2</v>
      </c>
      <c r="L36" s="1">
        <v>2</v>
      </c>
      <c r="M36" s="1">
        <v>2</v>
      </c>
      <c r="N36" s="1">
        <v>2</v>
      </c>
      <c r="O36" s="1">
        <v>2</v>
      </c>
      <c r="P36" s="1">
        <v>2</v>
      </c>
      <c r="Q36" s="1">
        <v>2</v>
      </c>
      <c r="R36" s="1">
        <v>1</v>
      </c>
      <c r="S36" s="1">
        <v>2</v>
      </c>
      <c r="T36" s="1">
        <v>2</v>
      </c>
      <c r="U36" s="1">
        <v>2</v>
      </c>
      <c r="V36" s="1">
        <v>2</v>
      </c>
      <c r="W36" s="1">
        <v>2</v>
      </c>
      <c r="X36" s="1"/>
      <c r="Y36" s="1"/>
    </row>
    <row r="37" spans="1:25" ht="14.4" x14ac:dyDescent="0.3">
      <c r="A37" s="7" t="s">
        <v>37</v>
      </c>
      <c r="B37" s="1">
        <v>1</v>
      </c>
      <c r="C37" s="1">
        <v>2</v>
      </c>
      <c r="D37" s="1">
        <v>2</v>
      </c>
      <c r="E37" s="1">
        <v>1</v>
      </c>
      <c r="F37" s="1">
        <v>2</v>
      </c>
      <c r="G37" s="1">
        <v>2</v>
      </c>
      <c r="H37" s="1">
        <v>2</v>
      </c>
      <c r="I37" s="1">
        <v>2</v>
      </c>
      <c r="J37" s="1">
        <v>1</v>
      </c>
      <c r="K37" s="1">
        <v>1</v>
      </c>
      <c r="L37" s="1">
        <v>2</v>
      </c>
      <c r="M37" s="1">
        <v>2</v>
      </c>
      <c r="N37" s="1">
        <v>2</v>
      </c>
      <c r="O37" s="1">
        <v>2</v>
      </c>
      <c r="P37" s="1">
        <v>2</v>
      </c>
      <c r="Q37" s="1">
        <v>2</v>
      </c>
      <c r="R37" s="1">
        <v>2</v>
      </c>
      <c r="S37" s="1">
        <v>2</v>
      </c>
      <c r="T37" s="1">
        <v>2</v>
      </c>
      <c r="U37" s="1">
        <v>2</v>
      </c>
      <c r="V37" s="1">
        <v>2</v>
      </c>
      <c r="W37" s="1">
        <v>2</v>
      </c>
      <c r="X37" s="1"/>
      <c r="Y37" s="1"/>
    </row>
    <row r="38" spans="1:25" ht="14.4" x14ac:dyDescent="0.3">
      <c r="A38" s="7" t="s">
        <v>38</v>
      </c>
      <c r="B38" s="1">
        <v>2</v>
      </c>
      <c r="C38" s="1">
        <v>2</v>
      </c>
      <c r="D38" s="1">
        <v>2</v>
      </c>
      <c r="E38" s="1"/>
      <c r="F38" s="1">
        <v>2</v>
      </c>
      <c r="G38" s="1">
        <v>2</v>
      </c>
      <c r="H38" s="1">
        <v>0</v>
      </c>
      <c r="I38" s="1">
        <v>2</v>
      </c>
      <c r="J38" s="1">
        <v>0</v>
      </c>
      <c r="K38" s="1">
        <v>2</v>
      </c>
      <c r="L38" s="1">
        <v>2</v>
      </c>
      <c r="M38" s="1">
        <v>2</v>
      </c>
      <c r="N38" s="1">
        <v>2</v>
      </c>
      <c r="O38" s="1">
        <v>2</v>
      </c>
      <c r="P38" s="1">
        <v>2</v>
      </c>
      <c r="Q38" s="1">
        <v>2</v>
      </c>
      <c r="R38" s="1">
        <v>2</v>
      </c>
      <c r="S38" s="1">
        <v>0</v>
      </c>
      <c r="T38" s="1">
        <v>2</v>
      </c>
      <c r="U38" s="1">
        <v>2</v>
      </c>
      <c r="V38" s="1">
        <v>2</v>
      </c>
      <c r="W38" s="1">
        <v>2</v>
      </c>
      <c r="X38" s="1"/>
      <c r="Y38" s="1"/>
    </row>
    <row r="39" spans="1:25" ht="14.4" x14ac:dyDescent="0.3">
      <c r="A39" s="7" t="s">
        <v>39</v>
      </c>
      <c r="B39" s="1">
        <v>2</v>
      </c>
      <c r="C39" s="1">
        <v>2</v>
      </c>
      <c r="D39" s="1">
        <v>2</v>
      </c>
      <c r="E39" s="1">
        <v>1</v>
      </c>
      <c r="F39" s="1">
        <v>2</v>
      </c>
      <c r="G39" s="1">
        <v>1</v>
      </c>
      <c r="H39" s="1">
        <v>2</v>
      </c>
      <c r="I39" s="1">
        <v>2</v>
      </c>
      <c r="J39" s="1">
        <v>0</v>
      </c>
      <c r="K39" s="1">
        <v>2</v>
      </c>
      <c r="L39" s="1">
        <v>2</v>
      </c>
      <c r="M39" s="1">
        <v>2</v>
      </c>
      <c r="N39" s="1">
        <v>2</v>
      </c>
      <c r="O39" s="1">
        <v>2</v>
      </c>
      <c r="P39" s="1">
        <v>2</v>
      </c>
      <c r="Q39" s="1">
        <v>2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1</v>
      </c>
      <c r="X39" s="1"/>
      <c r="Y39" s="1"/>
    </row>
    <row r="40" spans="1:25" ht="14.4" x14ac:dyDescent="0.3">
      <c r="A40" s="7" t="s">
        <v>40</v>
      </c>
      <c r="B40" s="1">
        <v>2</v>
      </c>
      <c r="C40" s="1">
        <v>0</v>
      </c>
      <c r="D40" s="1">
        <v>2</v>
      </c>
      <c r="E40" s="1"/>
      <c r="F40" s="1">
        <v>2</v>
      </c>
      <c r="G40" s="1">
        <v>2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1</v>
      </c>
      <c r="Q40" s="1">
        <v>1</v>
      </c>
      <c r="R40" s="1">
        <v>2</v>
      </c>
      <c r="S40" s="1">
        <v>2</v>
      </c>
      <c r="T40" s="1">
        <v>2</v>
      </c>
      <c r="U40" s="1">
        <v>2</v>
      </c>
      <c r="V40" s="1">
        <v>2</v>
      </c>
      <c r="W40" s="1">
        <v>1</v>
      </c>
      <c r="X40" s="1"/>
      <c r="Y40" s="1"/>
    </row>
    <row r="41" spans="1:25" ht="14.4" x14ac:dyDescent="0.3">
      <c r="A41" s="7" t="s">
        <v>41</v>
      </c>
      <c r="B41" s="1">
        <v>2</v>
      </c>
      <c r="C41" s="1">
        <v>2</v>
      </c>
      <c r="D41" s="1">
        <v>2</v>
      </c>
      <c r="E41" s="1"/>
      <c r="F41" s="1">
        <v>2</v>
      </c>
      <c r="G41" s="1">
        <v>2</v>
      </c>
      <c r="H41" s="1">
        <v>0</v>
      </c>
      <c r="I41" s="1">
        <v>0</v>
      </c>
      <c r="J41" s="1">
        <v>2</v>
      </c>
      <c r="K41" s="1">
        <v>2</v>
      </c>
      <c r="L41" s="1">
        <v>0</v>
      </c>
      <c r="M41" s="1">
        <v>2</v>
      </c>
      <c r="N41" s="1">
        <v>0</v>
      </c>
      <c r="O41" s="1">
        <v>0</v>
      </c>
      <c r="P41" s="1">
        <v>0</v>
      </c>
      <c r="Q41" s="1">
        <v>2</v>
      </c>
      <c r="R41" s="1">
        <v>2</v>
      </c>
      <c r="S41" s="1">
        <v>0</v>
      </c>
      <c r="T41" s="1">
        <v>0</v>
      </c>
      <c r="U41" s="1">
        <v>2</v>
      </c>
      <c r="V41" s="1">
        <v>0</v>
      </c>
      <c r="W41" s="1">
        <v>0</v>
      </c>
      <c r="X41" s="1"/>
      <c r="Y41" s="1"/>
    </row>
    <row r="42" spans="1:25" ht="14.4" x14ac:dyDescent="0.3">
      <c r="A42" s="6" t="s">
        <v>42</v>
      </c>
      <c r="B42" s="1">
        <v>2</v>
      </c>
      <c r="C42" s="1">
        <v>2</v>
      </c>
      <c r="D42" s="1">
        <v>2</v>
      </c>
      <c r="E42" s="1"/>
      <c r="F42" s="1">
        <v>2</v>
      </c>
      <c r="G42" s="1">
        <v>2</v>
      </c>
      <c r="H42" s="1">
        <v>2</v>
      </c>
      <c r="I42" s="1">
        <v>2</v>
      </c>
      <c r="J42" s="1">
        <v>2</v>
      </c>
      <c r="K42" s="1">
        <v>2</v>
      </c>
      <c r="L42" s="1">
        <v>2</v>
      </c>
      <c r="M42" s="1">
        <v>2</v>
      </c>
      <c r="N42" s="1">
        <v>0</v>
      </c>
      <c r="O42" s="1">
        <v>2</v>
      </c>
      <c r="P42" s="1">
        <v>0</v>
      </c>
      <c r="Q42" s="1">
        <v>0</v>
      </c>
      <c r="R42" s="1">
        <v>2</v>
      </c>
      <c r="S42" s="1">
        <v>2</v>
      </c>
      <c r="T42" s="1">
        <v>2</v>
      </c>
      <c r="U42" s="1">
        <v>2</v>
      </c>
      <c r="V42" s="1">
        <v>2</v>
      </c>
      <c r="W42" s="1">
        <v>2</v>
      </c>
      <c r="X42" s="1"/>
      <c r="Y42" s="1"/>
    </row>
    <row r="43" spans="1:25" ht="14.4" x14ac:dyDescent="0.3">
      <c r="A43" s="8" t="s">
        <v>43</v>
      </c>
      <c r="B43" s="1">
        <v>2</v>
      </c>
      <c r="C43" s="1">
        <v>2</v>
      </c>
      <c r="D43" s="1">
        <v>2</v>
      </c>
      <c r="E43" s="1"/>
      <c r="F43" s="1">
        <v>2</v>
      </c>
      <c r="G43" s="1">
        <v>0</v>
      </c>
      <c r="H43" s="1">
        <v>0</v>
      </c>
      <c r="I43" s="1">
        <v>0</v>
      </c>
      <c r="J43" s="1">
        <v>2</v>
      </c>
      <c r="K43" s="1">
        <v>1</v>
      </c>
      <c r="L43" s="1">
        <v>0</v>
      </c>
      <c r="M43" s="1">
        <v>0</v>
      </c>
      <c r="N43" s="1">
        <v>0</v>
      </c>
      <c r="O43" s="1">
        <v>2</v>
      </c>
      <c r="P43" s="1">
        <v>0</v>
      </c>
      <c r="Q43" s="1">
        <v>2</v>
      </c>
      <c r="R43" s="1">
        <v>2</v>
      </c>
      <c r="S43" s="1">
        <v>2</v>
      </c>
      <c r="T43" s="1">
        <v>0</v>
      </c>
      <c r="U43" s="1">
        <v>0</v>
      </c>
      <c r="V43" s="1">
        <v>0</v>
      </c>
      <c r="W43" s="1">
        <v>0</v>
      </c>
      <c r="X43" s="1"/>
      <c r="Y43" s="1"/>
    </row>
    <row r="44" spans="1:25" ht="14.4" x14ac:dyDescent="0.3">
      <c r="A44" s="8" t="s">
        <v>44</v>
      </c>
      <c r="B44" s="1">
        <v>2</v>
      </c>
      <c r="C44" s="1">
        <v>2</v>
      </c>
      <c r="D44" s="1">
        <v>2</v>
      </c>
      <c r="E44" s="1"/>
      <c r="F44" s="1">
        <v>2</v>
      </c>
      <c r="G44" s="1">
        <v>2</v>
      </c>
      <c r="H44" s="1">
        <v>0</v>
      </c>
      <c r="I44" s="1">
        <v>0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0</v>
      </c>
      <c r="P44" s="1">
        <v>2</v>
      </c>
      <c r="Q44" s="1">
        <v>2</v>
      </c>
      <c r="R44" s="1">
        <v>2</v>
      </c>
      <c r="S44" s="1">
        <v>2</v>
      </c>
      <c r="T44" s="1">
        <v>2</v>
      </c>
      <c r="U44" s="1">
        <v>2</v>
      </c>
      <c r="V44" s="1">
        <v>2</v>
      </c>
      <c r="W44" s="1">
        <v>2</v>
      </c>
      <c r="X44" s="1"/>
      <c r="Y44" s="1"/>
    </row>
    <row r="45" spans="1:25" ht="14.4" x14ac:dyDescent="0.3">
      <c r="A45" s="9" t="s">
        <v>45</v>
      </c>
      <c r="B45" s="1">
        <v>2</v>
      </c>
      <c r="C45" s="1">
        <v>2</v>
      </c>
      <c r="D45" s="1">
        <v>2</v>
      </c>
      <c r="E45" s="1"/>
      <c r="F45" s="1">
        <v>2</v>
      </c>
      <c r="G45" s="1">
        <v>2</v>
      </c>
      <c r="H45" s="1">
        <v>0</v>
      </c>
      <c r="I45" s="1">
        <v>2</v>
      </c>
      <c r="J45" s="1">
        <v>0</v>
      </c>
      <c r="K45" s="1">
        <v>2</v>
      </c>
      <c r="L45" s="1">
        <v>0</v>
      </c>
      <c r="M45" s="1">
        <v>2</v>
      </c>
      <c r="N45" s="1">
        <v>2</v>
      </c>
      <c r="O45" s="1">
        <v>0</v>
      </c>
      <c r="P45" s="1">
        <v>2</v>
      </c>
      <c r="Q45" s="1">
        <v>2</v>
      </c>
      <c r="R45" s="1">
        <v>2</v>
      </c>
      <c r="S45" s="1">
        <v>0</v>
      </c>
      <c r="T45" s="1">
        <v>0</v>
      </c>
      <c r="U45" s="1">
        <v>2</v>
      </c>
      <c r="V45" s="1">
        <v>2</v>
      </c>
      <c r="W45" s="1">
        <v>2</v>
      </c>
      <c r="X45" s="1"/>
      <c r="Y45" s="1"/>
    </row>
    <row r="46" spans="1:25" ht="14.4" x14ac:dyDescent="0.3">
      <c r="A46" s="9" t="s">
        <v>46</v>
      </c>
      <c r="B46" s="1">
        <v>1</v>
      </c>
      <c r="C46" s="1">
        <v>2</v>
      </c>
      <c r="D46" s="1">
        <v>2</v>
      </c>
      <c r="E46" s="1"/>
      <c r="F46" s="1">
        <v>2</v>
      </c>
      <c r="G46" s="1">
        <v>2</v>
      </c>
      <c r="H46" s="1">
        <v>2</v>
      </c>
      <c r="I46" s="1">
        <v>2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0</v>
      </c>
      <c r="P46" s="1">
        <v>2</v>
      </c>
      <c r="Q46" s="1">
        <v>2</v>
      </c>
      <c r="R46" s="1">
        <v>2</v>
      </c>
      <c r="S46" s="1">
        <v>2</v>
      </c>
      <c r="T46" s="1">
        <v>0</v>
      </c>
      <c r="U46" s="1">
        <v>2</v>
      </c>
      <c r="V46" s="1">
        <v>2</v>
      </c>
      <c r="W46" s="1">
        <v>0</v>
      </c>
      <c r="X46" s="1"/>
      <c r="Y46" s="1"/>
    </row>
    <row r="47" spans="1:25" ht="14.4" x14ac:dyDescent="0.3">
      <c r="A47" s="8" t="s">
        <v>47</v>
      </c>
      <c r="B47" s="1">
        <v>2</v>
      </c>
      <c r="C47" s="1">
        <v>2</v>
      </c>
      <c r="D47" s="1">
        <v>2</v>
      </c>
      <c r="E47" s="1"/>
      <c r="F47" s="1">
        <v>2</v>
      </c>
      <c r="G47" s="1">
        <v>0</v>
      </c>
      <c r="H47" s="1">
        <v>0</v>
      </c>
      <c r="I47" s="1">
        <v>0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0</v>
      </c>
      <c r="P47" s="1">
        <v>2</v>
      </c>
      <c r="Q47" s="1">
        <v>2</v>
      </c>
      <c r="R47" s="1">
        <v>2</v>
      </c>
      <c r="S47" s="1">
        <v>0</v>
      </c>
      <c r="T47" s="1">
        <v>0</v>
      </c>
      <c r="U47" s="1">
        <v>2</v>
      </c>
      <c r="V47" s="1">
        <v>2</v>
      </c>
      <c r="W47" s="1">
        <v>2</v>
      </c>
      <c r="X47" s="1"/>
      <c r="Y47" s="1"/>
    </row>
    <row r="48" spans="1:25" ht="14.4" x14ac:dyDescent="0.3">
      <c r="A48" s="8" t="s">
        <v>48</v>
      </c>
      <c r="B48" s="1">
        <v>2</v>
      </c>
      <c r="C48" s="1">
        <v>2</v>
      </c>
      <c r="D48" s="1">
        <v>2</v>
      </c>
      <c r="E48" s="1">
        <v>1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1</v>
      </c>
      <c r="O48" s="1">
        <v>2</v>
      </c>
      <c r="P48" s="1">
        <v>1</v>
      </c>
      <c r="Q48" s="1">
        <v>2</v>
      </c>
      <c r="R48" s="1">
        <v>2</v>
      </c>
      <c r="S48" s="1">
        <v>0</v>
      </c>
      <c r="T48" s="1">
        <v>1</v>
      </c>
      <c r="U48" s="1">
        <v>0</v>
      </c>
      <c r="V48" s="1">
        <v>2</v>
      </c>
      <c r="W48" s="1">
        <v>2</v>
      </c>
      <c r="X48" s="1"/>
      <c r="Y48" s="1"/>
    </row>
    <row r="49" spans="1:25" ht="14.4" x14ac:dyDescent="0.3">
      <c r="A49" s="9" t="s">
        <v>49</v>
      </c>
      <c r="B49" s="1">
        <v>2</v>
      </c>
      <c r="C49" s="1">
        <v>2</v>
      </c>
      <c r="D49" s="1">
        <v>2</v>
      </c>
      <c r="E49" s="1">
        <v>1</v>
      </c>
      <c r="F49" s="1">
        <v>2</v>
      </c>
      <c r="G49" s="1">
        <v>1</v>
      </c>
      <c r="H49" s="1">
        <v>2</v>
      </c>
      <c r="I49" s="1">
        <v>1</v>
      </c>
      <c r="J49" s="1">
        <v>2</v>
      </c>
      <c r="K49" s="1">
        <v>2</v>
      </c>
      <c r="L49" s="1">
        <v>2</v>
      </c>
      <c r="M49" s="1">
        <v>1</v>
      </c>
      <c r="N49" s="1">
        <v>2</v>
      </c>
      <c r="O49" s="1">
        <v>2</v>
      </c>
      <c r="P49" s="1">
        <v>2</v>
      </c>
      <c r="Q49" s="1">
        <v>1</v>
      </c>
      <c r="R49" s="1">
        <v>1</v>
      </c>
      <c r="S49" s="1">
        <v>2</v>
      </c>
      <c r="T49" s="1">
        <v>1</v>
      </c>
      <c r="U49" s="1">
        <v>2</v>
      </c>
      <c r="V49" s="1">
        <v>2</v>
      </c>
      <c r="W49" s="1">
        <v>2</v>
      </c>
      <c r="X49" s="1"/>
      <c r="Y49" s="1"/>
    </row>
    <row r="50" spans="1:25" ht="14.4" x14ac:dyDescent="0.3">
      <c r="A50" s="8" t="s">
        <v>50</v>
      </c>
      <c r="B50" s="1">
        <v>1</v>
      </c>
      <c r="C50" s="1">
        <v>2</v>
      </c>
      <c r="D50" s="1">
        <v>2</v>
      </c>
      <c r="E50" s="1"/>
      <c r="F50" s="1">
        <v>2</v>
      </c>
      <c r="G50" s="1">
        <v>2</v>
      </c>
      <c r="H50" s="1">
        <v>0</v>
      </c>
      <c r="I50" s="1">
        <v>0</v>
      </c>
      <c r="J50" s="1">
        <v>1</v>
      </c>
      <c r="K50" s="1">
        <v>2</v>
      </c>
      <c r="L50" s="1">
        <v>2</v>
      </c>
      <c r="M50" s="1">
        <v>0</v>
      </c>
      <c r="N50" s="1">
        <v>0</v>
      </c>
      <c r="O50" s="1">
        <v>1</v>
      </c>
      <c r="P50" s="1">
        <v>2</v>
      </c>
      <c r="Q50" s="1">
        <v>1</v>
      </c>
      <c r="R50" s="1">
        <v>1</v>
      </c>
      <c r="S50" s="1">
        <v>1</v>
      </c>
      <c r="T50" s="1">
        <v>2</v>
      </c>
      <c r="U50" s="1">
        <v>0</v>
      </c>
      <c r="V50" s="1">
        <v>2</v>
      </c>
      <c r="W50" s="1">
        <v>2</v>
      </c>
      <c r="X50" s="1"/>
      <c r="Y50" s="1"/>
    </row>
    <row r="51" spans="1:25" ht="14.4" x14ac:dyDescent="0.3">
      <c r="A51" s="8" t="s">
        <v>51</v>
      </c>
      <c r="B51" s="1">
        <v>2</v>
      </c>
      <c r="C51" s="1">
        <v>2</v>
      </c>
      <c r="D51" s="1">
        <v>1</v>
      </c>
      <c r="E51" s="1"/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1</v>
      </c>
      <c r="L51" s="1">
        <v>2</v>
      </c>
      <c r="M51" s="1">
        <v>0</v>
      </c>
      <c r="N51" s="1">
        <v>0</v>
      </c>
      <c r="O51" s="1">
        <v>2</v>
      </c>
      <c r="P51" s="1">
        <v>2</v>
      </c>
      <c r="Q51" s="1">
        <v>2</v>
      </c>
      <c r="R51" s="1">
        <v>2</v>
      </c>
      <c r="S51" s="1">
        <v>0</v>
      </c>
      <c r="T51" s="1">
        <v>2</v>
      </c>
      <c r="U51" s="1">
        <v>2</v>
      </c>
      <c r="V51" s="1">
        <v>0</v>
      </c>
      <c r="W51" s="1">
        <v>0</v>
      </c>
      <c r="X51" s="1"/>
      <c r="Y51" s="1"/>
    </row>
    <row r="52" spans="1:25" ht="14.4" x14ac:dyDescent="0.3">
      <c r="A52" s="8" t="s">
        <v>52</v>
      </c>
      <c r="B52" s="1">
        <v>2</v>
      </c>
      <c r="C52" s="1">
        <v>2</v>
      </c>
      <c r="D52" s="1">
        <v>2</v>
      </c>
      <c r="E52" s="1"/>
      <c r="F52" s="1">
        <v>2</v>
      </c>
      <c r="G52" s="1">
        <v>2</v>
      </c>
      <c r="H52" s="1">
        <v>1</v>
      </c>
      <c r="I52" s="1">
        <v>2</v>
      </c>
      <c r="J52" s="1">
        <v>1</v>
      </c>
      <c r="K52" s="1">
        <v>2</v>
      </c>
      <c r="L52" s="1">
        <v>2</v>
      </c>
      <c r="M52" s="1">
        <v>0</v>
      </c>
      <c r="N52" s="1">
        <v>2</v>
      </c>
      <c r="O52" s="1">
        <v>2</v>
      </c>
      <c r="P52" s="1">
        <v>2</v>
      </c>
      <c r="Q52" s="1">
        <v>2</v>
      </c>
      <c r="R52" s="1">
        <v>1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/>
      <c r="Y52" s="1"/>
    </row>
    <row r="53" spans="1:25" ht="14.4" x14ac:dyDescent="0.3">
      <c r="A53" s="8" t="s">
        <v>53</v>
      </c>
      <c r="B53" s="1">
        <v>2</v>
      </c>
      <c r="C53" s="1">
        <v>2</v>
      </c>
      <c r="D53" s="1">
        <v>2</v>
      </c>
      <c r="E53" s="1">
        <v>1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1</v>
      </c>
      <c r="R53" s="1">
        <v>2</v>
      </c>
      <c r="S53" s="1">
        <v>2</v>
      </c>
      <c r="T53" s="1">
        <v>1</v>
      </c>
      <c r="U53" s="1">
        <v>2</v>
      </c>
      <c r="V53" s="1">
        <v>2</v>
      </c>
      <c r="W53" s="1">
        <v>2</v>
      </c>
      <c r="X53" s="1"/>
      <c r="Y53" s="1"/>
    </row>
    <row r="54" spans="1:25" ht="14.4" x14ac:dyDescent="0.3">
      <c r="A54" s="8" t="s">
        <v>54</v>
      </c>
      <c r="B54" s="1">
        <v>1</v>
      </c>
      <c r="C54" s="1">
        <v>2</v>
      </c>
      <c r="D54" s="1">
        <v>1</v>
      </c>
      <c r="E54" s="1"/>
      <c r="F54" s="1">
        <v>2</v>
      </c>
      <c r="G54" s="1">
        <v>2</v>
      </c>
      <c r="H54" s="1">
        <v>0</v>
      </c>
      <c r="I54" s="1">
        <v>0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1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/>
      <c r="Y54" s="1"/>
    </row>
    <row r="55" spans="1:25" ht="14.4" x14ac:dyDescent="0.3">
      <c r="A55" s="8" t="s">
        <v>55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2</v>
      </c>
      <c r="M55" s="1">
        <v>0</v>
      </c>
      <c r="N55" s="1">
        <v>2</v>
      </c>
      <c r="O55" s="1">
        <v>2</v>
      </c>
      <c r="P55" s="1">
        <v>2</v>
      </c>
      <c r="Q55" s="1">
        <v>2</v>
      </c>
      <c r="R55" s="1">
        <v>1</v>
      </c>
      <c r="S55" s="1">
        <v>0</v>
      </c>
      <c r="T55" s="1">
        <v>2</v>
      </c>
      <c r="U55" s="1">
        <v>0</v>
      </c>
      <c r="V55" s="1">
        <v>2</v>
      </c>
      <c r="W55" s="1">
        <v>2</v>
      </c>
      <c r="X55" s="1"/>
      <c r="Y55" s="1"/>
    </row>
    <row r="56" spans="1:25" ht="14.4" x14ac:dyDescent="0.3">
      <c r="A56" s="8" t="s">
        <v>56</v>
      </c>
      <c r="B56" s="1">
        <v>2</v>
      </c>
      <c r="C56" s="1">
        <v>2</v>
      </c>
      <c r="D56" s="1">
        <v>2</v>
      </c>
      <c r="E56" s="1"/>
      <c r="F56" s="1">
        <v>2</v>
      </c>
      <c r="G56" s="1">
        <v>2</v>
      </c>
      <c r="H56" s="1">
        <v>0</v>
      </c>
      <c r="I56" s="1">
        <v>0</v>
      </c>
      <c r="J56" s="1">
        <v>0</v>
      </c>
      <c r="K56" s="1">
        <v>2</v>
      </c>
      <c r="L56" s="1">
        <v>2</v>
      </c>
      <c r="M56" s="1">
        <v>0</v>
      </c>
      <c r="N56" s="1">
        <v>0</v>
      </c>
      <c r="O56" s="1">
        <v>0</v>
      </c>
      <c r="P56" s="1">
        <v>0</v>
      </c>
      <c r="Q56" s="1">
        <v>2</v>
      </c>
      <c r="R56" s="1">
        <v>2</v>
      </c>
      <c r="S56" s="1">
        <v>2</v>
      </c>
      <c r="T56" s="1">
        <v>0</v>
      </c>
      <c r="U56" s="1">
        <v>2</v>
      </c>
      <c r="V56" s="1">
        <v>0</v>
      </c>
      <c r="W56" s="1">
        <v>2</v>
      </c>
      <c r="X56" s="1"/>
      <c r="Y56" s="1"/>
    </row>
    <row r="57" spans="1:25" ht="14.4" x14ac:dyDescent="0.3">
      <c r="A57" s="8" t="s">
        <v>57</v>
      </c>
      <c r="B57" s="1">
        <v>2</v>
      </c>
      <c r="C57" s="1">
        <v>2</v>
      </c>
      <c r="D57" s="1">
        <v>2</v>
      </c>
      <c r="E57" s="1"/>
      <c r="F57" s="1">
        <v>2</v>
      </c>
      <c r="G57" s="1">
        <v>1</v>
      </c>
      <c r="H57" s="1">
        <v>1</v>
      </c>
      <c r="I57" s="1">
        <v>2</v>
      </c>
      <c r="J57" s="1">
        <v>1</v>
      </c>
      <c r="K57" s="1">
        <v>2</v>
      </c>
      <c r="L57" s="1">
        <v>2</v>
      </c>
      <c r="M57" s="1">
        <v>1</v>
      </c>
      <c r="N57" s="1">
        <v>2</v>
      </c>
      <c r="O57" s="1">
        <v>1</v>
      </c>
      <c r="P57" s="1">
        <v>2</v>
      </c>
      <c r="Q57" s="1">
        <v>1</v>
      </c>
      <c r="R57" s="1">
        <v>1</v>
      </c>
      <c r="S57" s="1">
        <v>1</v>
      </c>
      <c r="T57" s="1">
        <v>2</v>
      </c>
      <c r="U57" s="1">
        <v>2</v>
      </c>
      <c r="V57" s="1">
        <v>2</v>
      </c>
      <c r="W57" s="1">
        <v>2</v>
      </c>
      <c r="X57" s="1"/>
      <c r="Y57" s="1"/>
    </row>
    <row r="58" spans="1:25" ht="14.4" x14ac:dyDescent="0.3">
      <c r="A58" s="8" t="s">
        <v>58</v>
      </c>
      <c r="B58" s="1">
        <v>1</v>
      </c>
      <c r="C58" s="1">
        <v>2</v>
      </c>
      <c r="D58" s="1">
        <v>2</v>
      </c>
      <c r="E58" s="1"/>
      <c r="F58" s="1">
        <v>2</v>
      </c>
      <c r="G58" s="1">
        <v>2</v>
      </c>
      <c r="H58" s="1">
        <v>0</v>
      </c>
      <c r="I58" s="1">
        <v>0</v>
      </c>
      <c r="J58" s="1">
        <v>0</v>
      </c>
      <c r="K58" s="1">
        <v>2</v>
      </c>
      <c r="L58" s="1">
        <v>2</v>
      </c>
      <c r="M58" s="1">
        <v>2</v>
      </c>
      <c r="N58" s="1">
        <v>1</v>
      </c>
      <c r="O58" s="1">
        <v>0</v>
      </c>
      <c r="P58" s="1">
        <v>2</v>
      </c>
      <c r="Q58" s="1">
        <v>0</v>
      </c>
      <c r="R58" s="1">
        <v>2</v>
      </c>
      <c r="S58" s="1">
        <v>2</v>
      </c>
      <c r="T58" s="1">
        <v>2</v>
      </c>
      <c r="U58" s="1">
        <v>0</v>
      </c>
      <c r="V58" s="1">
        <v>2</v>
      </c>
      <c r="W58" s="1">
        <v>2</v>
      </c>
      <c r="X58" s="1"/>
      <c r="Y58" s="1"/>
    </row>
    <row r="59" spans="1:25" ht="14.4" x14ac:dyDescent="0.3">
      <c r="A59" s="8" t="s">
        <v>59</v>
      </c>
      <c r="B59" s="1">
        <v>2</v>
      </c>
      <c r="C59" s="1">
        <v>2</v>
      </c>
      <c r="D59" s="1">
        <v>2</v>
      </c>
      <c r="E59" s="1"/>
      <c r="F59" s="1">
        <v>2</v>
      </c>
      <c r="G59" s="1">
        <v>2</v>
      </c>
      <c r="H59" s="1">
        <v>2</v>
      </c>
      <c r="I59" s="1">
        <v>1</v>
      </c>
      <c r="J59" s="1">
        <v>2</v>
      </c>
      <c r="K59" s="1">
        <v>1</v>
      </c>
      <c r="L59" s="1">
        <v>2</v>
      </c>
      <c r="M59" s="1">
        <v>0</v>
      </c>
      <c r="N59" s="1">
        <v>2</v>
      </c>
      <c r="O59" s="1">
        <v>1</v>
      </c>
      <c r="P59" s="1">
        <v>2</v>
      </c>
      <c r="Q59" s="1">
        <v>1</v>
      </c>
      <c r="R59" s="1">
        <v>1</v>
      </c>
      <c r="S59" s="1">
        <v>2</v>
      </c>
      <c r="T59" s="1">
        <v>1</v>
      </c>
      <c r="U59" s="1">
        <v>2</v>
      </c>
      <c r="V59" s="1">
        <v>2</v>
      </c>
      <c r="W59" s="1">
        <v>2</v>
      </c>
      <c r="X59" s="1"/>
      <c r="Y59" s="1"/>
    </row>
    <row r="60" spans="1:25" ht="14.4" x14ac:dyDescent="0.3">
      <c r="A60" s="8" t="s">
        <v>60</v>
      </c>
      <c r="B60" s="1">
        <v>2</v>
      </c>
      <c r="C60" s="1">
        <v>2</v>
      </c>
      <c r="D60" s="1">
        <v>2</v>
      </c>
      <c r="E60" s="1"/>
      <c r="F60" s="1">
        <v>2</v>
      </c>
      <c r="G60" s="1">
        <v>2</v>
      </c>
      <c r="H60" s="1">
        <v>0</v>
      </c>
      <c r="I60" s="1">
        <v>1</v>
      </c>
      <c r="J60" s="1">
        <v>1</v>
      </c>
      <c r="K60" s="1">
        <v>1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1</v>
      </c>
      <c r="S60" s="1">
        <v>2</v>
      </c>
      <c r="T60" s="1">
        <v>2</v>
      </c>
      <c r="U60" s="1">
        <v>0</v>
      </c>
      <c r="V60" s="1">
        <v>2</v>
      </c>
      <c r="W60" s="1">
        <v>2</v>
      </c>
      <c r="X60" s="1"/>
      <c r="Y60" s="1"/>
    </row>
    <row r="61" spans="1:25" ht="14.4" x14ac:dyDescent="0.3">
      <c r="A61" s="8" t="s">
        <v>61</v>
      </c>
      <c r="B61" s="1">
        <v>2</v>
      </c>
      <c r="C61" s="1">
        <v>2</v>
      </c>
      <c r="D61" s="1">
        <v>2</v>
      </c>
      <c r="E61" s="1">
        <v>1</v>
      </c>
      <c r="F61" s="1">
        <v>2</v>
      </c>
      <c r="G61" s="1">
        <v>2</v>
      </c>
      <c r="H61" s="1">
        <v>0</v>
      </c>
      <c r="I61" s="1">
        <v>2</v>
      </c>
      <c r="J61" s="1">
        <v>2</v>
      </c>
      <c r="K61" s="1">
        <v>1</v>
      </c>
      <c r="L61" s="1">
        <v>2</v>
      </c>
      <c r="M61" s="1">
        <v>0</v>
      </c>
      <c r="N61" s="1">
        <v>0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0</v>
      </c>
      <c r="U61" s="1">
        <v>0</v>
      </c>
      <c r="V61" s="1">
        <v>2</v>
      </c>
      <c r="W61" s="1">
        <v>0</v>
      </c>
      <c r="X61" s="1"/>
      <c r="Y61" s="1"/>
    </row>
    <row r="62" spans="1:25" ht="14.4" x14ac:dyDescent="0.3">
      <c r="A62" s="8" t="s">
        <v>62</v>
      </c>
      <c r="B62" s="1">
        <v>2</v>
      </c>
      <c r="C62" s="1">
        <v>2</v>
      </c>
      <c r="D62" s="1">
        <v>2</v>
      </c>
      <c r="E62" s="1"/>
      <c r="F62" s="1">
        <v>2</v>
      </c>
      <c r="G62" s="1">
        <v>2</v>
      </c>
      <c r="H62" s="1">
        <v>2</v>
      </c>
      <c r="I62" s="1">
        <v>2</v>
      </c>
      <c r="J62" s="1">
        <v>0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0</v>
      </c>
      <c r="T62" s="1">
        <v>0</v>
      </c>
      <c r="U62" s="1">
        <v>2</v>
      </c>
      <c r="V62" s="1">
        <v>2</v>
      </c>
      <c r="W62" s="1">
        <v>2</v>
      </c>
      <c r="X62" s="1"/>
      <c r="Y62" s="1"/>
    </row>
    <row r="63" spans="1:25" ht="14.4" x14ac:dyDescent="0.3">
      <c r="A63" s="8" t="s">
        <v>63</v>
      </c>
      <c r="B63" s="1">
        <v>2</v>
      </c>
      <c r="C63" s="1">
        <v>2</v>
      </c>
      <c r="D63" s="1">
        <v>2</v>
      </c>
      <c r="E63" s="1"/>
      <c r="F63" s="1">
        <v>1</v>
      </c>
      <c r="G63" s="1">
        <v>2</v>
      </c>
      <c r="H63" s="1">
        <v>0</v>
      </c>
      <c r="I63" s="1">
        <v>1</v>
      </c>
      <c r="J63" s="1">
        <v>2</v>
      </c>
      <c r="K63" s="1">
        <v>2</v>
      </c>
      <c r="L63" s="1">
        <v>2</v>
      </c>
      <c r="M63" s="1">
        <v>0</v>
      </c>
      <c r="N63" s="1">
        <v>0</v>
      </c>
      <c r="O63" s="1">
        <v>0</v>
      </c>
      <c r="P63" s="1">
        <v>2</v>
      </c>
      <c r="Q63" s="1">
        <v>2</v>
      </c>
      <c r="R63" s="1">
        <v>2</v>
      </c>
      <c r="S63" s="1">
        <v>2</v>
      </c>
      <c r="T63" s="1">
        <v>1</v>
      </c>
      <c r="U63" s="1">
        <v>0</v>
      </c>
      <c r="V63" s="1">
        <v>2</v>
      </c>
      <c r="W63" s="1">
        <v>0</v>
      </c>
      <c r="X63" s="1"/>
      <c r="Y63" s="1"/>
    </row>
    <row r="64" spans="1:25" ht="14.4" x14ac:dyDescent="0.3">
      <c r="A64" s="8" t="s">
        <v>64</v>
      </c>
      <c r="B64" s="1">
        <v>2</v>
      </c>
      <c r="C64" s="1">
        <v>2</v>
      </c>
      <c r="D64" s="1">
        <v>2</v>
      </c>
      <c r="E64" s="1"/>
      <c r="F64" s="1">
        <v>2</v>
      </c>
      <c r="G64" s="1">
        <v>2</v>
      </c>
      <c r="H64" s="1">
        <v>2</v>
      </c>
      <c r="I64" s="1">
        <v>0</v>
      </c>
      <c r="J64" s="1">
        <v>2</v>
      </c>
      <c r="K64" s="1">
        <v>2</v>
      </c>
      <c r="L64" s="1">
        <v>2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2</v>
      </c>
      <c r="V64" s="1">
        <v>2</v>
      </c>
      <c r="W64" s="1">
        <v>2</v>
      </c>
      <c r="X64" s="1"/>
      <c r="Y64" s="1"/>
    </row>
    <row r="65" spans="1:25" ht="14.4" x14ac:dyDescent="0.3">
      <c r="A65" s="9" t="s">
        <v>65</v>
      </c>
      <c r="B65" s="1">
        <v>2</v>
      </c>
      <c r="C65" s="1">
        <v>2</v>
      </c>
      <c r="D65" s="1">
        <v>2</v>
      </c>
      <c r="E65" s="1"/>
      <c r="F65" s="1">
        <v>2</v>
      </c>
      <c r="G65" s="1">
        <v>2</v>
      </c>
      <c r="H65" s="1">
        <v>2</v>
      </c>
      <c r="I65" s="1">
        <v>2</v>
      </c>
      <c r="J65" s="1">
        <v>0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0</v>
      </c>
      <c r="T65" s="1">
        <v>2</v>
      </c>
      <c r="U65" s="1">
        <v>2</v>
      </c>
      <c r="V65" s="1">
        <v>2</v>
      </c>
      <c r="W65" s="1">
        <v>0</v>
      </c>
      <c r="X65" s="1"/>
      <c r="Y65" s="1"/>
    </row>
    <row r="66" spans="1:25" ht="14.4" x14ac:dyDescent="0.3">
      <c r="A66" s="8" t="s">
        <v>66</v>
      </c>
      <c r="B66" s="1">
        <v>2</v>
      </c>
      <c r="C66" s="1">
        <v>2</v>
      </c>
      <c r="D66" s="1">
        <v>2</v>
      </c>
      <c r="E66" s="1"/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1</v>
      </c>
      <c r="O66" s="1">
        <v>2</v>
      </c>
      <c r="P66" s="1">
        <v>2</v>
      </c>
      <c r="Q66" s="1">
        <v>1</v>
      </c>
      <c r="R66" s="1">
        <v>2</v>
      </c>
      <c r="S66" s="1">
        <v>1</v>
      </c>
      <c r="T66" s="1">
        <v>1</v>
      </c>
      <c r="U66" s="1">
        <v>2</v>
      </c>
      <c r="V66" s="1">
        <v>2</v>
      </c>
      <c r="W66" s="1">
        <v>2</v>
      </c>
      <c r="X66" s="1"/>
      <c r="Y66" s="1"/>
    </row>
    <row r="67" spans="1:25" ht="14.4" x14ac:dyDescent="0.3">
      <c r="A67" s="8" t="s">
        <v>67</v>
      </c>
      <c r="B67" s="1">
        <v>2</v>
      </c>
      <c r="C67" s="1">
        <v>2</v>
      </c>
      <c r="D67" s="1">
        <v>1</v>
      </c>
      <c r="E67" s="1"/>
      <c r="F67" s="1">
        <v>2</v>
      </c>
      <c r="G67" s="1">
        <v>2</v>
      </c>
      <c r="H67" s="1">
        <v>2</v>
      </c>
      <c r="I67" s="1">
        <v>2</v>
      </c>
      <c r="J67" s="1">
        <v>1</v>
      </c>
      <c r="K67" s="1">
        <v>2</v>
      </c>
      <c r="L67" s="1">
        <v>2</v>
      </c>
      <c r="M67" s="1">
        <v>2</v>
      </c>
      <c r="N67" s="1">
        <v>2</v>
      </c>
      <c r="O67" s="1">
        <v>1</v>
      </c>
      <c r="P67" s="1">
        <v>1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/>
      <c r="Y67" s="1"/>
    </row>
    <row r="68" spans="1:25" ht="14.4" x14ac:dyDescent="0.3">
      <c r="A68" s="8" t="s">
        <v>68</v>
      </c>
      <c r="B68" s="1">
        <v>2</v>
      </c>
      <c r="C68" s="1">
        <v>2</v>
      </c>
      <c r="D68" s="1">
        <v>2</v>
      </c>
      <c r="E68" s="1"/>
      <c r="F68" s="1">
        <v>2</v>
      </c>
      <c r="G68" s="1">
        <v>2</v>
      </c>
      <c r="H68" s="1">
        <v>2</v>
      </c>
      <c r="I68" s="1">
        <v>2</v>
      </c>
      <c r="J68" s="1">
        <v>0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1</v>
      </c>
      <c r="Q68" s="1">
        <v>1</v>
      </c>
      <c r="R68" s="1">
        <v>2</v>
      </c>
      <c r="S68" s="1">
        <v>2</v>
      </c>
      <c r="T68" s="1">
        <v>2</v>
      </c>
      <c r="U68" s="1">
        <v>2</v>
      </c>
      <c r="V68" s="1">
        <v>1</v>
      </c>
      <c r="W68" s="1">
        <v>1</v>
      </c>
      <c r="X68" s="1"/>
      <c r="Y68" s="1"/>
    </row>
    <row r="69" spans="1:25" ht="14.4" x14ac:dyDescent="0.3">
      <c r="A69" s="8" t="s">
        <v>69</v>
      </c>
      <c r="B69" s="1">
        <v>2</v>
      </c>
      <c r="C69" s="1">
        <v>0</v>
      </c>
      <c r="D69" s="1">
        <v>2</v>
      </c>
      <c r="E69" s="1">
        <v>0</v>
      </c>
      <c r="F69" s="1">
        <v>2</v>
      </c>
      <c r="G69" s="1">
        <v>2</v>
      </c>
      <c r="H69" s="1">
        <v>0</v>
      </c>
      <c r="I69" s="1">
        <v>0</v>
      </c>
      <c r="J69" s="1">
        <v>2</v>
      </c>
      <c r="K69" s="1">
        <v>0</v>
      </c>
      <c r="L69" s="1">
        <v>2</v>
      </c>
      <c r="M69" s="1">
        <v>2</v>
      </c>
      <c r="N69" s="1">
        <v>2</v>
      </c>
      <c r="O69" s="1">
        <v>0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0</v>
      </c>
      <c r="W69" s="1">
        <v>2</v>
      </c>
      <c r="X69" s="1"/>
      <c r="Y69" s="1"/>
    </row>
    <row r="70" spans="1:25" ht="14.4" x14ac:dyDescent="0.3">
      <c r="A70" s="8" t="s">
        <v>70</v>
      </c>
      <c r="B70" s="1">
        <v>2</v>
      </c>
      <c r="C70" s="1">
        <v>2</v>
      </c>
      <c r="D70" s="1">
        <v>2</v>
      </c>
      <c r="E70" s="1"/>
      <c r="F70" s="1">
        <v>2</v>
      </c>
      <c r="G70" s="1">
        <v>2</v>
      </c>
      <c r="H70" s="1">
        <v>0</v>
      </c>
      <c r="I70" s="1">
        <v>2</v>
      </c>
      <c r="J70" s="1">
        <v>2</v>
      </c>
      <c r="K70" s="1">
        <v>2</v>
      </c>
      <c r="L70" s="1">
        <v>0</v>
      </c>
      <c r="M70" s="1">
        <v>2</v>
      </c>
      <c r="N70" s="1">
        <v>2</v>
      </c>
      <c r="O70" s="1">
        <v>0</v>
      </c>
      <c r="P70" s="1">
        <v>2</v>
      </c>
      <c r="Q70" s="1">
        <v>1</v>
      </c>
      <c r="R70" s="1">
        <v>2</v>
      </c>
      <c r="S70" s="1">
        <v>2</v>
      </c>
      <c r="T70" s="1">
        <v>2</v>
      </c>
      <c r="U70" s="1">
        <v>0</v>
      </c>
      <c r="V70" s="1">
        <v>2</v>
      </c>
      <c r="W70" s="1">
        <v>0</v>
      </c>
      <c r="X70" s="1"/>
      <c r="Y70" s="1"/>
    </row>
    <row r="71" spans="1:25" ht="14.4" x14ac:dyDescent="0.3">
      <c r="A71" s="8" t="s">
        <v>71</v>
      </c>
      <c r="B71" s="1">
        <v>2</v>
      </c>
      <c r="C71" s="1">
        <v>2</v>
      </c>
      <c r="D71" s="1">
        <v>2</v>
      </c>
      <c r="E71" s="1"/>
      <c r="F71" s="1">
        <v>2</v>
      </c>
      <c r="G71" s="1">
        <v>2</v>
      </c>
      <c r="H71" s="1">
        <v>2</v>
      </c>
      <c r="I71" s="1">
        <v>2</v>
      </c>
      <c r="J71" s="1">
        <v>0</v>
      </c>
      <c r="K71" s="1">
        <v>2</v>
      </c>
      <c r="L71" s="1">
        <v>2</v>
      </c>
      <c r="M71" s="1">
        <v>2</v>
      </c>
      <c r="N71" s="1">
        <v>2</v>
      </c>
      <c r="O71" s="1">
        <v>0</v>
      </c>
      <c r="P71" s="1">
        <v>0</v>
      </c>
      <c r="Q71" s="1">
        <v>2</v>
      </c>
      <c r="R71" s="1">
        <v>2</v>
      </c>
      <c r="S71" s="1">
        <v>2</v>
      </c>
      <c r="T71" s="1">
        <v>2</v>
      </c>
      <c r="U71" s="1">
        <v>2</v>
      </c>
      <c r="V71" s="1">
        <v>2</v>
      </c>
      <c r="W71" s="1">
        <v>2</v>
      </c>
      <c r="X71" s="1"/>
      <c r="Y71" s="1"/>
    </row>
    <row r="72" spans="1:25" ht="14.4" x14ac:dyDescent="0.3">
      <c r="A72" s="8" t="s">
        <v>72</v>
      </c>
      <c r="B72" s="1">
        <v>2</v>
      </c>
      <c r="C72" s="1">
        <v>2</v>
      </c>
      <c r="D72" s="1">
        <v>2</v>
      </c>
      <c r="E72" s="1"/>
      <c r="F72" s="1">
        <v>2</v>
      </c>
      <c r="G72" s="1">
        <v>0</v>
      </c>
      <c r="H72" s="1">
        <v>0</v>
      </c>
      <c r="I72" s="1">
        <v>2</v>
      </c>
      <c r="J72" s="1">
        <v>2</v>
      </c>
      <c r="K72" s="1">
        <v>1</v>
      </c>
      <c r="L72" s="1">
        <v>2</v>
      </c>
      <c r="M72" s="1">
        <v>2</v>
      </c>
      <c r="N72" s="1">
        <v>0</v>
      </c>
      <c r="O72" s="1">
        <v>0</v>
      </c>
      <c r="P72" s="1">
        <v>2</v>
      </c>
      <c r="Q72" s="1">
        <v>2</v>
      </c>
      <c r="R72" s="1">
        <v>2</v>
      </c>
      <c r="S72" s="1">
        <v>0</v>
      </c>
      <c r="T72" s="1">
        <v>1</v>
      </c>
      <c r="U72" s="1">
        <v>0</v>
      </c>
      <c r="V72" s="1">
        <v>2</v>
      </c>
      <c r="W72" s="1">
        <v>0</v>
      </c>
      <c r="X72" s="1"/>
      <c r="Y72" s="1"/>
    </row>
    <row r="73" spans="1:25" ht="14.4" x14ac:dyDescent="0.3">
      <c r="A73" s="8" t="s">
        <v>73</v>
      </c>
      <c r="B73" s="1">
        <v>2</v>
      </c>
      <c r="C73" s="1">
        <v>2</v>
      </c>
      <c r="D73" s="1">
        <v>0</v>
      </c>
      <c r="E73" s="1"/>
      <c r="F73" s="1">
        <v>0</v>
      </c>
      <c r="G73" s="1">
        <v>2</v>
      </c>
      <c r="H73" s="1">
        <v>0</v>
      </c>
      <c r="I73" s="1">
        <v>0</v>
      </c>
      <c r="J73" s="1">
        <v>2</v>
      </c>
      <c r="K73" s="1">
        <v>2</v>
      </c>
      <c r="L73" s="1">
        <v>0</v>
      </c>
      <c r="M73" s="1">
        <v>2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2</v>
      </c>
      <c r="T73" s="1">
        <v>0</v>
      </c>
      <c r="U73" s="1">
        <v>2</v>
      </c>
      <c r="V73" s="1">
        <v>2</v>
      </c>
      <c r="W73" s="1">
        <v>0</v>
      </c>
      <c r="X73" s="1"/>
      <c r="Y73" s="1"/>
    </row>
    <row r="74" spans="1:25" ht="14.4" x14ac:dyDescent="0.3">
      <c r="A74" s="8" t="s">
        <v>74</v>
      </c>
      <c r="B74" s="1">
        <v>2</v>
      </c>
      <c r="C74" s="1">
        <v>2</v>
      </c>
      <c r="D74" s="1">
        <v>2</v>
      </c>
      <c r="E74" s="1">
        <v>1</v>
      </c>
      <c r="F74" s="1">
        <v>2</v>
      </c>
      <c r="G74" s="1">
        <v>2</v>
      </c>
      <c r="H74" s="1">
        <v>0</v>
      </c>
      <c r="I74" s="1">
        <v>0</v>
      </c>
      <c r="J74" s="1">
        <v>2</v>
      </c>
      <c r="K74" s="1">
        <v>0</v>
      </c>
      <c r="L74" s="1">
        <v>2</v>
      </c>
      <c r="M74" s="1">
        <v>2</v>
      </c>
      <c r="N74" s="1">
        <v>0</v>
      </c>
      <c r="O74" s="1">
        <v>0</v>
      </c>
      <c r="P74" s="1">
        <v>0</v>
      </c>
      <c r="Q74" s="1">
        <v>0</v>
      </c>
      <c r="R74" s="1">
        <v>2</v>
      </c>
      <c r="S74" s="1">
        <v>0</v>
      </c>
      <c r="T74" s="1">
        <v>0</v>
      </c>
      <c r="U74" s="1">
        <v>0</v>
      </c>
      <c r="V74" s="1">
        <v>0</v>
      </c>
      <c r="W74" s="1">
        <v>2</v>
      </c>
      <c r="X74" s="1"/>
      <c r="Y74" s="1"/>
    </row>
    <row r="75" spans="1:25" ht="14.4" x14ac:dyDescent="0.3">
      <c r="A75" s="8" t="s">
        <v>75</v>
      </c>
      <c r="B75" s="1">
        <v>2</v>
      </c>
      <c r="C75" s="1">
        <v>2</v>
      </c>
      <c r="D75" s="1">
        <v>1</v>
      </c>
      <c r="E75" s="1"/>
      <c r="F75" s="1">
        <v>1</v>
      </c>
      <c r="G75" s="1">
        <v>2</v>
      </c>
      <c r="H75" s="1">
        <v>2</v>
      </c>
      <c r="I75" s="1">
        <v>1</v>
      </c>
      <c r="J75" s="1">
        <v>2</v>
      </c>
      <c r="K75" s="1">
        <v>2</v>
      </c>
      <c r="L75" s="1">
        <v>2</v>
      </c>
      <c r="M75" s="1">
        <v>2</v>
      </c>
      <c r="N75" s="1">
        <v>2</v>
      </c>
      <c r="O75" s="1">
        <v>2</v>
      </c>
      <c r="P75" s="1">
        <v>2</v>
      </c>
      <c r="Q75" s="1">
        <v>2</v>
      </c>
      <c r="R75" s="1">
        <v>2</v>
      </c>
      <c r="S75" s="1">
        <v>2</v>
      </c>
      <c r="T75" s="1">
        <v>2</v>
      </c>
      <c r="U75" s="1">
        <v>1</v>
      </c>
      <c r="V75" s="1">
        <v>2</v>
      </c>
      <c r="W75" s="1">
        <v>2</v>
      </c>
      <c r="X75" s="1"/>
      <c r="Y75" s="1"/>
    </row>
    <row r="76" spans="1:25" ht="14.4" x14ac:dyDescent="0.3">
      <c r="A76" s="8" t="s">
        <v>76</v>
      </c>
      <c r="B76" s="1">
        <v>2</v>
      </c>
      <c r="C76" s="1">
        <v>2</v>
      </c>
      <c r="D76" s="1">
        <v>2</v>
      </c>
      <c r="E76" s="1"/>
      <c r="F76" s="1">
        <v>2</v>
      </c>
      <c r="G76" s="1">
        <v>2</v>
      </c>
      <c r="H76" s="1">
        <v>2</v>
      </c>
      <c r="I76" s="1">
        <v>2</v>
      </c>
      <c r="J76" s="1">
        <v>0</v>
      </c>
      <c r="K76" s="1">
        <v>2</v>
      </c>
      <c r="L76" s="1">
        <v>2</v>
      </c>
      <c r="M76" s="1">
        <v>2</v>
      </c>
      <c r="N76" s="1">
        <v>2</v>
      </c>
      <c r="O76" s="1">
        <v>2</v>
      </c>
      <c r="P76" s="1">
        <v>2</v>
      </c>
      <c r="Q76" s="1">
        <v>1</v>
      </c>
      <c r="R76" s="1">
        <v>2</v>
      </c>
      <c r="S76" s="1">
        <v>2</v>
      </c>
      <c r="T76" s="1">
        <v>2</v>
      </c>
      <c r="U76" s="1">
        <v>2</v>
      </c>
      <c r="V76" s="1">
        <v>1</v>
      </c>
      <c r="W76" s="1">
        <v>1</v>
      </c>
      <c r="X76" s="1"/>
      <c r="Y76" s="1"/>
    </row>
    <row r="77" spans="1:25" ht="14.4" x14ac:dyDescent="0.3">
      <c r="A77" s="8" t="s">
        <v>77</v>
      </c>
      <c r="B77" s="1">
        <v>2</v>
      </c>
      <c r="C77" s="1">
        <v>2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0</v>
      </c>
      <c r="L77" s="1">
        <v>2</v>
      </c>
      <c r="M77" s="1">
        <v>0</v>
      </c>
      <c r="N77" s="1">
        <v>0</v>
      </c>
      <c r="O77" s="1">
        <v>0</v>
      </c>
      <c r="P77" s="1">
        <v>0</v>
      </c>
      <c r="Q77" s="1">
        <v>2</v>
      </c>
      <c r="R77" s="1">
        <v>2</v>
      </c>
      <c r="S77" s="1">
        <v>0</v>
      </c>
      <c r="T77" s="1">
        <v>2</v>
      </c>
      <c r="U77" s="1">
        <v>2</v>
      </c>
      <c r="V77" s="1">
        <v>2</v>
      </c>
      <c r="W77" s="1">
        <v>2</v>
      </c>
      <c r="X77" s="1"/>
      <c r="Y77" s="1"/>
    </row>
    <row r="78" spans="1:25" ht="14.4" x14ac:dyDescent="0.3">
      <c r="A78" s="8" t="s">
        <v>78</v>
      </c>
      <c r="B78" s="1">
        <v>2</v>
      </c>
      <c r="C78" s="1">
        <v>2</v>
      </c>
      <c r="D78" s="1">
        <v>2</v>
      </c>
      <c r="E78" s="1"/>
      <c r="F78" s="1">
        <v>2</v>
      </c>
      <c r="G78" s="1">
        <v>2</v>
      </c>
      <c r="H78" s="1">
        <v>1</v>
      </c>
      <c r="I78" s="1">
        <v>2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2</v>
      </c>
      <c r="P78" s="1">
        <v>2</v>
      </c>
      <c r="Q78" s="1">
        <v>1</v>
      </c>
      <c r="R78" s="1">
        <v>2</v>
      </c>
      <c r="S78" s="1">
        <v>0</v>
      </c>
      <c r="T78" s="1">
        <v>0</v>
      </c>
      <c r="U78" s="1">
        <v>0</v>
      </c>
      <c r="V78" s="1">
        <v>2</v>
      </c>
      <c r="W78" s="1">
        <v>2</v>
      </c>
      <c r="X78" s="1"/>
      <c r="Y78" s="1"/>
    </row>
    <row r="79" spans="1:25" ht="14.4" x14ac:dyDescent="0.3">
      <c r="A79" s="9" t="s">
        <v>79</v>
      </c>
      <c r="B79" s="1">
        <v>2</v>
      </c>
      <c r="C79" s="1">
        <v>2</v>
      </c>
      <c r="D79" s="1">
        <v>2</v>
      </c>
      <c r="E79" s="1">
        <v>1</v>
      </c>
      <c r="F79" s="1">
        <v>1</v>
      </c>
      <c r="G79" s="1">
        <v>1</v>
      </c>
      <c r="H79" s="1">
        <v>1</v>
      </c>
      <c r="I79" s="1">
        <v>2</v>
      </c>
      <c r="J79" s="1">
        <v>1</v>
      </c>
      <c r="K79" s="1">
        <v>1</v>
      </c>
      <c r="L79" s="1">
        <v>2</v>
      </c>
      <c r="M79" s="1">
        <v>2</v>
      </c>
      <c r="N79" s="1">
        <v>2</v>
      </c>
      <c r="O79" s="1">
        <v>2</v>
      </c>
      <c r="P79" s="1">
        <v>2</v>
      </c>
      <c r="Q79" s="1">
        <v>2</v>
      </c>
      <c r="R79" s="1">
        <v>2</v>
      </c>
      <c r="S79" s="1">
        <v>2</v>
      </c>
      <c r="T79" s="1">
        <v>2</v>
      </c>
      <c r="U79" s="1">
        <v>2</v>
      </c>
      <c r="V79" s="1">
        <v>2</v>
      </c>
      <c r="W79" s="1">
        <v>2</v>
      </c>
      <c r="X79" s="1"/>
      <c r="Y79" s="1"/>
    </row>
    <row r="80" spans="1:25" ht="14.4" x14ac:dyDescent="0.3">
      <c r="A80" s="8" t="s">
        <v>80</v>
      </c>
      <c r="B80" s="1">
        <v>2</v>
      </c>
      <c r="C80" s="1">
        <v>2</v>
      </c>
      <c r="D80" s="1">
        <v>2</v>
      </c>
      <c r="E80" s="1"/>
      <c r="F80" s="1">
        <v>2</v>
      </c>
      <c r="G80" s="1">
        <v>2</v>
      </c>
      <c r="H80" s="1">
        <v>0</v>
      </c>
      <c r="I80" s="1">
        <v>0</v>
      </c>
      <c r="J80" s="1">
        <v>2</v>
      </c>
      <c r="K80" s="1">
        <v>2</v>
      </c>
      <c r="L80" s="1">
        <v>2</v>
      </c>
      <c r="M80" s="1">
        <v>2</v>
      </c>
      <c r="N80" s="1">
        <v>2</v>
      </c>
      <c r="O80" s="1">
        <v>2</v>
      </c>
      <c r="P80" s="1">
        <v>2</v>
      </c>
      <c r="Q80" s="1">
        <v>2</v>
      </c>
      <c r="R80" s="1">
        <v>2</v>
      </c>
      <c r="S80" s="1">
        <v>0</v>
      </c>
      <c r="T80" s="1">
        <v>1</v>
      </c>
      <c r="U80" s="1">
        <v>1</v>
      </c>
      <c r="V80" s="1">
        <v>2</v>
      </c>
      <c r="W80" s="1">
        <v>2</v>
      </c>
      <c r="X80" s="1"/>
      <c r="Y80" s="1"/>
    </row>
    <row r="81" spans="1:25" ht="14.4" x14ac:dyDescent="0.3">
      <c r="A81" s="8" t="s">
        <v>81</v>
      </c>
      <c r="B81" s="1">
        <v>2</v>
      </c>
      <c r="C81" s="1">
        <v>2</v>
      </c>
      <c r="D81" s="1">
        <v>2</v>
      </c>
      <c r="E81" s="1"/>
      <c r="F81" s="1">
        <v>2</v>
      </c>
      <c r="G81" s="1">
        <v>0</v>
      </c>
      <c r="H81" s="1">
        <v>2</v>
      </c>
      <c r="I81" s="1">
        <v>2</v>
      </c>
      <c r="J81" s="1">
        <v>2</v>
      </c>
      <c r="K81" s="1">
        <v>2</v>
      </c>
      <c r="L81" s="1">
        <v>0</v>
      </c>
      <c r="M81" s="1">
        <v>2</v>
      </c>
      <c r="N81" s="1">
        <v>2</v>
      </c>
      <c r="O81" s="1">
        <v>2</v>
      </c>
      <c r="P81" s="1">
        <v>2</v>
      </c>
      <c r="Q81" s="1">
        <v>2</v>
      </c>
      <c r="R81" s="1">
        <v>2</v>
      </c>
      <c r="S81" s="1">
        <v>1</v>
      </c>
      <c r="T81" s="1">
        <v>2</v>
      </c>
      <c r="U81" s="1">
        <v>2</v>
      </c>
      <c r="V81" s="1">
        <v>0</v>
      </c>
      <c r="W81" s="1">
        <v>2</v>
      </c>
      <c r="X81" s="1"/>
      <c r="Y81" s="1"/>
    </row>
    <row r="82" spans="1:25" ht="14.4" x14ac:dyDescent="0.3">
      <c r="A82" s="10" t="s">
        <v>82</v>
      </c>
      <c r="B82" s="1">
        <v>2</v>
      </c>
      <c r="C82" s="1">
        <v>2</v>
      </c>
      <c r="D82" s="1">
        <v>2</v>
      </c>
      <c r="E82" s="1"/>
      <c r="F82" s="1">
        <v>1</v>
      </c>
      <c r="G82" s="1">
        <v>2</v>
      </c>
      <c r="H82" s="1">
        <v>1</v>
      </c>
      <c r="I82" s="1">
        <v>2</v>
      </c>
      <c r="J82" s="1">
        <v>1</v>
      </c>
      <c r="K82" s="1">
        <v>2</v>
      </c>
      <c r="L82" s="1">
        <v>2</v>
      </c>
      <c r="M82" s="1">
        <v>2</v>
      </c>
      <c r="N82" s="1">
        <v>0</v>
      </c>
      <c r="O82" s="1">
        <v>0</v>
      </c>
      <c r="P82" s="1">
        <v>2</v>
      </c>
      <c r="Q82" s="1">
        <v>2</v>
      </c>
      <c r="R82" s="1">
        <v>2</v>
      </c>
      <c r="S82" s="1">
        <v>0</v>
      </c>
      <c r="T82" s="1">
        <v>2</v>
      </c>
      <c r="U82" s="1">
        <v>2</v>
      </c>
      <c r="V82" s="1">
        <v>2</v>
      </c>
      <c r="W82" s="1">
        <v>2</v>
      </c>
      <c r="X82" s="1"/>
      <c r="Y82" s="1"/>
    </row>
    <row r="83" spans="1:25" ht="14.4" x14ac:dyDescent="0.3">
      <c r="A83" s="10" t="s">
        <v>83</v>
      </c>
      <c r="B83" s="1">
        <v>0</v>
      </c>
      <c r="C83" s="1">
        <v>2</v>
      </c>
      <c r="D83" s="1">
        <v>2</v>
      </c>
      <c r="E83" s="1"/>
      <c r="F83" s="1">
        <v>2</v>
      </c>
      <c r="G83" s="1">
        <v>0</v>
      </c>
      <c r="H83" s="1">
        <v>2</v>
      </c>
      <c r="I83" s="1">
        <v>0</v>
      </c>
      <c r="J83" s="1">
        <v>2</v>
      </c>
      <c r="K83" s="1">
        <v>2</v>
      </c>
      <c r="L83" s="1">
        <v>0</v>
      </c>
      <c r="M83" s="1">
        <v>2</v>
      </c>
      <c r="N83" s="1">
        <v>2</v>
      </c>
      <c r="O83" s="1">
        <v>1</v>
      </c>
      <c r="P83" s="1">
        <v>2</v>
      </c>
      <c r="Q83" s="1">
        <v>2</v>
      </c>
      <c r="R83" s="1">
        <v>2</v>
      </c>
      <c r="S83" s="1">
        <v>0</v>
      </c>
      <c r="T83" s="1">
        <v>2</v>
      </c>
      <c r="U83" s="1">
        <v>0</v>
      </c>
      <c r="V83" s="1">
        <v>2</v>
      </c>
      <c r="W83" s="1">
        <v>2</v>
      </c>
      <c r="X83" s="1"/>
      <c r="Y83" s="1"/>
    </row>
    <row r="84" spans="1:25" ht="14.4" x14ac:dyDescent="0.3">
      <c r="A84" s="10" t="s">
        <v>84</v>
      </c>
      <c r="B84" s="1">
        <v>2</v>
      </c>
      <c r="C84" s="1">
        <v>2</v>
      </c>
      <c r="D84" s="1">
        <v>2</v>
      </c>
      <c r="E84" s="1"/>
      <c r="F84" s="1">
        <v>0</v>
      </c>
      <c r="G84" s="1">
        <v>0</v>
      </c>
      <c r="H84" s="1">
        <v>2</v>
      </c>
      <c r="I84" s="1">
        <v>2</v>
      </c>
      <c r="J84" s="1">
        <v>0</v>
      </c>
      <c r="K84" s="1">
        <v>2</v>
      </c>
      <c r="L84" s="1">
        <v>2</v>
      </c>
      <c r="M84" s="1">
        <v>2</v>
      </c>
      <c r="N84" s="1">
        <v>2</v>
      </c>
      <c r="O84" s="1">
        <v>2</v>
      </c>
      <c r="P84" s="1">
        <v>2</v>
      </c>
      <c r="Q84" s="1">
        <v>1</v>
      </c>
      <c r="R84" s="1">
        <v>2</v>
      </c>
      <c r="S84" s="1">
        <v>2</v>
      </c>
      <c r="T84" s="1">
        <v>2</v>
      </c>
      <c r="U84" s="1">
        <v>2</v>
      </c>
      <c r="V84" s="1">
        <v>2</v>
      </c>
      <c r="W84" s="1">
        <v>1</v>
      </c>
      <c r="X84" s="1"/>
      <c r="Y84" s="1"/>
    </row>
    <row r="85" spans="1:25" ht="14.4" x14ac:dyDescent="0.3">
      <c r="A85" s="10" t="s">
        <v>85</v>
      </c>
      <c r="B85" s="1">
        <v>2</v>
      </c>
      <c r="C85" s="1">
        <v>2</v>
      </c>
      <c r="D85" s="1">
        <v>2</v>
      </c>
      <c r="E85" s="1"/>
      <c r="F85" s="1">
        <v>0</v>
      </c>
      <c r="G85" s="1">
        <v>2</v>
      </c>
      <c r="H85" s="1">
        <v>0</v>
      </c>
      <c r="I85" s="1">
        <v>2</v>
      </c>
      <c r="J85" s="1">
        <v>0</v>
      </c>
      <c r="K85" s="1">
        <v>2</v>
      </c>
      <c r="L85" s="1">
        <v>0</v>
      </c>
      <c r="M85" s="1">
        <v>2</v>
      </c>
      <c r="N85" s="1">
        <v>0</v>
      </c>
      <c r="O85" s="1">
        <v>0</v>
      </c>
      <c r="P85" s="1">
        <v>1</v>
      </c>
      <c r="Q85" s="1">
        <v>2</v>
      </c>
      <c r="R85" s="1">
        <v>2</v>
      </c>
      <c r="S85" s="1">
        <v>0</v>
      </c>
      <c r="T85" s="1">
        <v>2</v>
      </c>
      <c r="U85" s="1">
        <v>0</v>
      </c>
      <c r="V85" s="1">
        <v>2</v>
      </c>
      <c r="W85" s="1">
        <v>2</v>
      </c>
      <c r="X85" s="1"/>
      <c r="Y85" s="1"/>
    </row>
    <row r="86" spans="1:25" ht="14.4" x14ac:dyDescent="0.3">
      <c r="A86" s="10" t="s">
        <v>86</v>
      </c>
      <c r="B86" s="1">
        <v>2</v>
      </c>
      <c r="C86" s="1">
        <v>2</v>
      </c>
      <c r="D86" s="1">
        <v>2</v>
      </c>
      <c r="E86" s="1"/>
      <c r="F86" s="1">
        <v>2</v>
      </c>
      <c r="G86" s="1">
        <v>2</v>
      </c>
      <c r="H86" s="1">
        <v>0</v>
      </c>
      <c r="I86" s="1">
        <v>0</v>
      </c>
      <c r="J86" s="1">
        <v>2</v>
      </c>
      <c r="K86" s="1">
        <v>2</v>
      </c>
      <c r="L86" s="1">
        <v>2</v>
      </c>
      <c r="M86" s="1">
        <v>2</v>
      </c>
      <c r="N86" s="1">
        <v>2</v>
      </c>
      <c r="O86" s="1">
        <v>2</v>
      </c>
      <c r="P86" s="1">
        <v>1</v>
      </c>
      <c r="Q86" s="1">
        <v>2</v>
      </c>
      <c r="R86" s="1">
        <v>2</v>
      </c>
      <c r="S86" s="1">
        <v>0</v>
      </c>
      <c r="T86" s="1">
        <v>2</v>
      </c>
      <c r="U86" s="1">
        <v>2</v>
      </c>
      <c r="V86" s="1">
        <v>2</v>
      </c>
      <c r="W86" s="1">
        <v>2</v>
      </c>
      <c r="X86" s="1"/>
      <c r="Y86" s="1"/>
    </row>
    <row r="87" spans="1:25" ht="14.4" x14ac:dyDescent="0.3">
      <c r="A87" s="10" t="s">
        <v>87</v>
      </c>
      <c r="B87" s="1">
        <v>2</v>
      </c>
      <c r="C87" s="1">
        <v>2</v>
      </c>
      <c r="D87" s="1">
        <v>2</v>
      </c>
      <c r="E87" s="1"/>
      <c r="F87" s="1">
        <v>2</v>
      </c>
      <c r="G87" s="1">
        <v>2</v>
      </c>
      <c r="H87" s="1">
        <v>2</v>
      </c>
      <c r="I87" s="1">
        <v>2</v>
      </c>
      <c r="J87" s="1">
        <v>0</v>
      </c>
      <c r="K87" s="1">
        <v>2</v>
      </c>
      <c r="L87" s="1">
        <v>2</v>
      </c>
      <c r="M87" s="1">
        <v>2</v>
      </c>
      <c r="N87" s="1">
        <v>2</v>
      </c>
      <c r="O87" s="1">
        <v>2</v>
      </c>
      <c r="P87" s="1">
        <v>2</v>
      </c>
      <c r="Q87" s="1">
        <v>1</v>
      </c>
      <c r="R87" s="1">
        <v>2</v>
      </c>
      <c r="S87" s="1">
        <v>0</v>
      </c>
      <c r="T87" s="1">
        <v>2</v>
      </c>
      <c r="U87" s="1">
        <v>2</v>
      </c>
      <c r="V87" s="1">
        <v>0</v>
      </c>
      <c r="W87" s="1">
        <v>2</v>
      </c>
      <c r="X87" s="1"/>
      <c r="Y87" s="1"/>
    </row>
    <row r="88" spans="1:25" ht="14.4" x14ac:dyDescent="0.3">
      <c r="A88" s="10" t="s">
        <v>88</v>
      </c>
      <c r="B88" s="1">
        <v>2</v>
      </c>
      <c r="C88" s="1">
        <v>2</v>
      </c>
      <c r="D88" s="1">
        <v>2</v>
      </c>
      <c r="E88" s="1"/>
      <c r="F88" s="1">
        <v>2</v>
      </c>
      <c r="G88" s="1">
        <v>2</v>
      </c>
      <c r="H88" s="1">
        <v>2</v>
      </c>
      <c r="I88" s="1">
        <v>1</v>
      </c>
      <c r="J88" s="1">
        <v>1</v>
      </c>
      <c r="K88" s="1">
        <v>1</v>
      </c>
      <c r="L88" s="1">
        <v>2</v>
      </c>
      <c r="M88" s="1">
        <v>2</v>
      </c>
      <c r="N88" s="1">
        <v>2</v>
      </c>
      <c r="O88" s="1">
        <v>2</v>
      </c>
      <c r="P88" s="1">
        <v>1</v>
      </c>
      <c r="Q88" s="1">
        <v>2</v>
      </c>
      <c r="R88" s="1">
        <v>2</v>
      </c>
      <c r="S88" s="1">
        <v>2</v>
      </c>
      <c r="T88" s="1">
        <v>2</v>
      </c>
      <c r="U88" s="1">
        <v>2</v>
      </c>
      <c r="V88" s="1">
        <v>2</v>
      </c>
      <c r="W88" s="1">
        <v>2</v>
      </c>
      <c r="X88" s="1"/>
      <c r="Y88" s="1"/>
    </row>
    <row r="89" spans="1:25" ht="14.4" x14ac:dyDescent="0.3">
      <c r="A89" s="11" t="s">
        <v>89</v>
      </c>
      <c r="B89" s="1">
        <v>2</v>
      </c>
      <c r="C89" s="1">
        <v>2</v>
      </c>
      <c r="D89" s="1">
        <v>2</v>
      </c>
      <c r="E89" s="1">
        <v>1</v>
      </c>
      <c r="F89" s="1">
        <v>2</v>
      </c>
      <c r="G89" s="1">
        <v>0</v>
      </c>
      <c r="H89" s="1">
        <v>2</v>
      </c>
      <c r="I89" s="1">
        <v>2</v>
      </c>
      <c r="J89" s="1">
        <v>0</v>
      </c>
      <c r="K89" s="1">
        <v>2</v>
      </c>
      <c r="L89" s="1">
        <v>2</v>
      </c>
      <c r="M89" s="1">
        <v>2</v>
      </c>
      <c r="N89" s="1">
        <v>0</v>
      </c>
      <c r="O89" s="1">
        <v>2</v>
      </c>
      <c r="P89" s="1">
        <v>2</v>
      </c>
      <c r="Q89" s="1">
        <v>2</v>
      </c>
      <c r="R89" s="1">
        <v>2</v>
      </c>
      <c r="S89" s="1">
        <v>2</v>
      </c>
      <c r="T89" s="1">
        <v>2</v>
      </c>
      <c r="U89" s="1">
        <v>2</v>
      </c>
      <c r="V89" s="1">
        <v>2</v>
      </c>
      <c r="W89" s="1">
        <v>2</v>
      </c>
      <c r="X89" s="1"/>
      <c r="Y89" s="1"/>
    </row>
    <row r="90" spans="1:25" ht="14.4" x14ac:dyDescent="0.3">
      <c r="A90" s="11" t="s">
        <v>90</v>
      </c>
      <c r="B90" s="1">
        <v>0</v>
      </c>
      <c r="C90" s="1">
        <v>2</v>
      </c>
      <c r="D90" s="1">
        <v>2</v>
      </c>
      <c r="E90" s="1"/>
      <c r="F90" s="1">
        <v>2</v>
      </c>
      <c r="G90" s="1">
        <v>2</v>
      </c>
      <c r="H90" s="1">
        <v>2</v>
      </c>
      <c r="I90" s="1">
        <v>2</v>
      </c>
      <c r="J90" s="1">
        <v>2</v>
      </c>
      <c r="K90" s="1">
        <v>2</v>
      </c>
      <c r="L90" s="1">
        <v>2</v>
      </c>
      <c r="M90" s="1">
        <v>2</v>
      </c>
      <c r="N90" s="1">
        <v>0</v>
      </c>
      <c r="O90" s="1">
        <v>2</v>
      </c>
      <c r="P90" s="1">
        <v>2</v>
      </c>
      <c r="Q90" s="1">
        <v>2</v>
      </c>
      <c r="R90" s="1">
        <v>2</v>
      </c>
      <c r="S90" s="1">
        <v>0</v>
      </c>
      <c r="T90" s="1">
        <v>2</v>
      </c>
      <c r="U90" s="1">
        <v>2</v>
      </c>
      <c r="V90" s="1">
        <v>2</v>
      </c>
      <c r="W90" s="1">
        <v>2</v>
      </c>
      <c r="X90" s="1"/>
      <c r="Y90" s="1"/>
    </row>
    <row r="91" spans="1:25" ht="14.4" x14ac:dyDescent="0.3">
      <c r="A91" s="12" t="s">
        <v>91</v>
      </c>
      <c r="B91" s="1">
        <v>2</v>
      </c>
      <c r="C91" s="1">
        <v>1</v>
      </c>
      <c r="D91" s="1">
        <v>2</v>
      </c>
      <c r="E91" s="1"/>
      <c r="F91" s="1">
        <v>2</v>
      </c>
      <c r="G91" s="1">
        <v>2</v>
      </c>
      <c r="H91" s="1">
        <v>1</v>
      </c>
      <c r="I91" s="1">
        <v>2</v>
      </c>
      <c r="J91" s="1">
        <v>1</v>
      </c>
      <c r="K91" s="1">
        <v>2</v>
      </c>
      <c r="L91" s="1">
        <v>2</v>
      </c>
      <c r="M91" s="1">
        <v>2</v>
      </c>
      <c r="N91" s="1">
        <v>2</v>
      </c>
      <c r="O91" s="1">
        <v>2</v>
      </c>
      <c r="P91" s="1">
        <v>2</v>
      </c>
      <c r="Q91" s="1">
        <v>2</v>
      </c>
      <c r="R91" s="1">
        <v>2</v>
      </c>
      <c r="S91" s="1">
        <v>2</v>
      </c>
      <c r="T91" s="1">
        <v>2</v>
      </c>
      <c r="U91" s="1">
        <v>2</v>
      </c>
      <c r="V91" s="1">
        <v>2</v>
      </c>
      <c r="W91" s="1">
        <v>2</v>
      </c>
      <c r="X91" s="1"/>
      <c r="Y91" s="1"/>
    </row>
    <row r="92" spans="1:25" ht="14.4" x14ac:dyDescent="0.3">
      <c r="A92" s="12" t="s">
        <v>92</v>
      </c>
      <c r="B92" s="1">
        <v>2</v>
      </c>
      <c r="C92" s="1">
        <v>0</v>
      </c>
      <c r="D92" s="1">
        <v>2</v>
      </c>
      <c r="E92" s="1"/>
      <c r="F92" s="1">
        <v>2</v>
      </c>
      <c r="G92" s="1">
        <v>2</v>
      </c>
      <c r="H92" s="1">
        <v>2</v>
      </c>
      <c r="I92" s="1">
        <v>2</v>
      </c>
      <c r="J92" s="1">
        <v>2</v>
      </c>
      <c r="K92" s="1">
        <v>2</v>
      </c>
      <c r="L92" s="1">
        <v>1</v>
      </c>
      <c r="M92" s="1">
        <v>2</v>
      </c>
      <c r="N92" s="1">
        <v>2</v>
      </c>
      <c r="O92" s="1">
        <v>0</v>
      </c>
      <c r="P92" s="1">
        <v>0</v>
      </c>
      <c r="Q92" s="1">
        <v>0</v>
      </c>
      <c r="R92" s="1">
        <v>2</v>
      </c>
      <c r="S92" s="1">
        <v>2</v>
      </c>
      <c r="T92" s="1">
        <v>2</v>
      </c>
      <c r="U92" s="1">
        <v>0</v>
      </c>
      <c r="V92" s="1">
        <v>0</v>
      </c>
      <c r="W92" s="1">
        <v>2</v>
      </c>
      <c r="X92" s="1"/>
      <c r="Y92" s="1"/>
    </row>
    <row r="93" spans="1:25" ht="14.4" x14ac:dyDescent="0.3">
      <c r="A93" s="12" t="s">
        <v>93</v>
      </c>
      <c r="B93" s="1">
        <v>2</v>
      </c>
      <c r="C93" s="1">
        <v>1</v>
      </c>
      <c r="D93" s="1">
        <v>1</v>
      </c>
      <c r="E93" s="1"/>
      <c r="F93" s="1">
        <v>2</v>
      </c>
      <c r="G93" s="1">
        <v>2</v>
      </c>
      <c r="H93" s="1">
        <v>2</v>
      </c>
      <c r="I93" s="1">
        <v>2</v>
      </c>
      <c r="J93" s="1">
        <v>2</v>
      </c>
      <c r="K93" s="1">
        <v>2</v>
      </c>
      <c r="L93" s="1">
        <v>2</v>
      </c>
      <c r="M93" s="1">
        <v>2</v>
      </c>
      <c r="N93" s="1">
        <v>2</v>
      </c>
      <c r="O93" s="1">
        <v>2</v>
      </c>
      <c r="P93" s="1">
        <v>1</v>
      </c>
      <c r="Q93" s="1">
        <v>1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1</v>
      </c>
      <c r="X93" s="1"/>
      <c r="Y93" s="1"/>
    </row>
    <row r="94" spans="1:25" ht="14.4" x14ac:dyDescent="0.3">
      <c r="A94" s="12" t="s">
        <v>94</v>
      </c>
      <c r="B94" s="1">
        <v>2</v>
      </c>
      <c r="C94" s="1">
        <v>2</v>
      </c>
      <c r="D94" s="1">
        <v>1</v>
      </c>
      <c r="E94" s="1"/>
      <c r="F94" s="1">
        <v>2</v>
      </c>
      <c r="G94" s="1">
        <v>2</v>
      </c>
      <c r="H94" s="1">
        <v>0</v>
      </c>
      <c r="I94" s="1">
        <v>2</v>
      </c>
      <c r="J94" s="1">
        <v>2</v>
      </c>
      <c r="K94" s="1">
        <v>2</v>
      </c>
      <c r="L94" s="1">
        <v>2</v>
      </c>
      <c r="M94" s="1">
        <v>2</v>
      </c>
      <c r="N94" s="1">
        <v>2</v>
      </c>
      <c r="O94" s="1">
        <v>2</v>
      </c>
      <c r="P94" s="1">
        <v>2</v>
      </c>
      <c r="Q94" s="1">
        <v>2</v>
      </c>
      <c r="R94" s="1">
        <v>2</v>
      </c>
      <c r="S94" s="1">
        <v>2</v>
      </c>
      <c r="T94" s="1">
        <v>2</v>
      </c>
      <c r="U94" s="1">
        <v>1</v>
      </c>
      <c r="V94" s="1">
        <v>0</v>
      </c>
      <c r="W94" s="1">
        <v>1</v>
      </c>
      <c r="X94" s="1"/>
      <c r="Y94" s="1"/>
    </row>
    <row r="95" spans="1:25" ht="14.4" x14ac:dyDescent="0.3">
      <c r="A95" s="13" t="s">
        <v>95</v>
      </c>
      <c r="B95" s="1">
        <v>2</v>
      </c>
      <c r="C95" s="1">
        <v>2</v>
      </c>
      <c r="D95" s="1">
        <v>2</v>
      </c>
      <c r="E95" s="1"/>
      <c r="F95" s="1">
        <v>2</v>
      </c>
      <c r="G95" s="1">
        <v>2</v>
      </c>
      <c r="H95" s="1">
        <v>2</v>
      </c>
      <c r="I95" s="1">
        <v>2</v>
      </c>
      <c r="J95" s="1">
        <v>2</v>
      </c>
      <c r="K95" s="1">
        <v>2</v>
      </c>
      <c r="L95" s="1">
        <v>2</v>
      </c>
      <c r="M95" s="1">
        <v>2</v>
      </c>
      <c r="N95" s="1">
        <v>2</v>
      </c>
      <c r="O95" s="1">
        <v>2</v>
      </c>
      <c r="P95" s="1">
        <v>2</v>
      </c>
      <c r="Q95" s="1">
        <v>2</v>
      </c>
      <c r="R95" s="1">
        <v>2</v>
      </c>
      <c r="S95" s="1">
        <v>2</v>
      </c>
      <c r="T95" s="1">
        <v>1</v>
      </c>
      <c r="U95" s="1">
        <v>2</v>
      </c>
      <c r="V95" s="1">
        <v>2</v>
      </c>
      <c r="W95" s="1">
        <v>2</v>
      </c>
      <c r="X95" s="1"/>
      <c r="Y95" s="1"/>
    </row>
    <row r="96" spans="1:25" ht="14.4" x14ac:dyDescent="0.3">
      <c r="A96" s="13" t="s">
        <v>96</v>
      </c>
      <c r="B96" s="1">
        <v>2</v>
      </c>
      <c r="C96" s="1">
        <v>2</v>
      </c>
      <c r="D96" s="1">
        <v>2</v>
      </c>
      <c r="E96" s="1"/>
      <c r="F96" s="1">
        <v>0</v>
      </c>
      <c r="G96" s="1">
        <v>0</v>
      </c>
      <c r="H96" s="1">
        <v>0</v>
      </c>
      <c r="I96" s="1">
        <v>2</v>
      </c>
      <c r="J96" s="1">
        <v>2</v>
      </c>
      <c r="K96" s="1">
        <v>2</v>
      </c>
      <c r="L96" s="1">
        <v>2</v>
      </c>
      <c r="M96" s="1">
        <v>2</v>
      </c>
      <c r="N96" s="1">
        <v>0</v>
      </c>
      <c r="O96" s="1">
        <v>0</v>
      </c>
      <c r="P96" s="1">
        <v>0</v>
      </c>
      <c r="Q96" s="1">
        <v>2</v>
      </c>
      <c r="R96" s="1">
        <v>2</v>
      </c>
      <c r="S96" s="1">
        <v>0</v>
      </c>
      <c r="T96" s="1">
        <v>2</v>
      </c>
      <c r="U96" s="1">
        <v>0</v>
      </c>
      <c r="V96" s="1">
        <v>0</v>
      </c>
      <c r="W96" s="1">
        <v>0</v>
      </c>
      <c r="X96" s="1"/>
      <c r="Y96" s="1"/>
    </row>
    <row r="97" spans="1:25" ht="14.4" x14ac:dyDescent="0.3">
      <c r="A97" s="13" t="s">
        <v>97</v>
      </c>
      <c r="B97" s="1">
        <v>2</v>
      </c>
      <c r="C97" s="1">
        <v>2</v>
      </c>
      <c r="D97" s="1">
        <v>2</v>
      </c>
      <c r="E97" s="1"/>
      <c r="F97" s="1">
        <v>2</v>
      </c>
      <c r="G97" s="1">
        <v>2</v>
      </c>
      <c r="H97" s="1">
        <v>2</v>
      </c>
      <c r="I97" s="1">
        <v>2</v>
      </c>
      <c r="J97" s="1">
        <v>0</v>
      </c>
      <c r="K97" s="1">
        <v>2</v>
      </c>
      <c r="L97" s="1">
        <v>2</v>
      </c>
      <c r="M97" s="1">
        <v>2</v>
      </c>
      <c r="N97" s="1">
        <v>2</v>
      </c>
      <c r="O97" s="1">
        <v>2</v>
      </c>
      <c r="P97" s="1">
        <v>2</v>
      </c>
      <c r="Q97" s="1">
        <v>0</v>
      </c>
      <c r="R97" s="1">
        <v>2</v>
      </c>
      <c r="S97" s="1">
        <v>0</v>
      </c>
      <c r="T97" s="1">
        <v>2</v>
      </c>
      <c r="U97" s="1">
        <v>2</v>
      </c>
      <c r="V97" s="1">
        <v>2</v>
      </c>
      <c r="W97" s="1">
        <v>2</v>
      </c>
      <c r="X97" s="1"/>
      <c r="Y97" s="1"/>
    </row>
    <row r="98" spans="1:25" ht="14.4" x14ac:dyDescent="0.3">
      <c r="A98" s="13" t="s">
        <v>98</v>
      </c>
      <c r="B98" s="1">
        <v>2</v>
      </c>
      <c r="C98" s="1">
        <v>2</v>
      </c>
      <c r="D98" s="1">
        <v>2</v>
      </c>
      <c r="E98" s="1"/>
      <c r="F98" s="1">
        <v>2</v>
      </c>
      <c r="G98" s="1">
        <v>2</v>
      </c>
      <c r="H98" s="1">
        <v>0</v>
      </c>
      <c r="I98" s="1">
        <v>2</v>
      </c>
      <c r="J98" s="1">
        <v>2</v>
      </c>
      <c r="K98" s="1">
        <v>2</v>
      </c>
      <c r="L98" s="1">
        <v>0</v>
      </c>
      <c r="M98" s="1">
        <v>2</v>
      </c>
      <c r="N98" s="1">
        <v>0</v>
      </c>
      <c r="O98" s="1">
        <v>0</v>
      </c>
      <c r="P98" s="1">
        <v>0</v>
      </c>
      <c r="Q98" s="1">
        <v>2</v>
      </c>
      <c r="R98" s="1">
        <v>2</v>
      </c>
      <c r="S98" s="1">
        <v>0</v>
      </c>
      <c r="T98" s="1">
        <v>2</v>
      </c>
      <c r="U98" s="1">
        <v>0</v>
      </c>
      <c r="V98" s="1">
        <v>2</v>
      </c>
      <c r="W98" s="1">
        <v>2</v>
      </c>
      <c r="X98" s="1"/>
      <c r="Y98" s="1"/>
    </row>
    <row r="99" spans="1:25" ht="14.4" x14ac:dyDescent="0.3">
      <c r="A99" s="13" t="s">
        <v>99</v>
      </c>
      <c r="B99" s="1">
        <v>2</v>
      </c>
      <c r="C99" s="1">
        <v>2</v>
      </c>
      <c r="D99" s="1">
        <v>2</v>
      </c>
      <c r="E99" s="1"/>
      <c r="F99" s="1">
        <v>2</v>
      </c>
      <c r="G99" s="1">
        <v>2</v>
      </c>
      <c r="H99" s="1">
        <v>0</v>
      </c>
      <c r="I99" s="1">
        <v>2</v>
      </c>
      <c r="J99" s="1">
        <v>0</v>
      </c>
      <c r="K99" s="1">
        <v>2</v>
      </c>
      <c r="L99" s="1">
        <v>2</v>
      </c>
      <c r="M99" s="1">
        <v>2</v>
      </c>
      <c r="N99" s="1">
        <v>2</v>
      </c>
      <c r="O99" s="1">
        <v>0</v>
      </c>
      <c r="P99" s="1">
        <v>2</v>
      </c>
      <c r="Q99" s="1">
        <v>2</v>
      </c>
      <c r="R99" s="1">
        <v>2</v>
      </c>
      <c r="S99" s="1">
        <v>2</v>
      </c>
      <c r="T99" s="1">
        <v>2</v>
      </c>
      <c r="U99" s="1">
        <v>2</v>
      </c>
      <c r="V99" s="1">
        <v>2</v>
      </c>
      <c r="W99" s="1">
        <v>2</v>
      </c>
      <c r="X99" s="1"/>
      <c r="Y99" s="1"/>
    </row>
    <row r="100" spans="1:25" ht="14.4" x14ac:dyDescent="0.3">
      <c r="A100" s="13" t="s">
        <v>100</v>
      </c>
      <c r="B100" s="1">
        <v>2</v>
      </c>
      <c r="C100" s="1">
        <v>2</v>
      </c>
      <c r="D100" s="1">
        <v>2</v>
      </c>
      <c r="E100" s="1"/>
      <c r="F100" s="1">
        <v>2</v>
      </c>
      <c r="G100" s="1">
        <v>2</v>
      </c>
      <c r="H100" s="1">
        <v>2</v>
      </c>
      <c r="I100" s="1">
        <v>2</v>
      </c>
      <c r="J100" s="1">
        <v>2</v>
      </c>
      <c r="K100" s="1">
        <v>2</v>
      </c>
      <c r="L100" s="1">
        <v>2</v>
      </c>
      <c r="M100" s="1">
        <v>2</v>
      </c>
      <c r="N100" s="1">
        <v>2</v>
      </c>
      <c r="O100" s="1">
        <v>2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/>
      <c r="Y100" s="1"/>
    </row>
    <row r="101" spans="1:25" ht="14.4" x14ac:dyDescent="0.3">
      <c r="A101" s="13" t="s">
        <v>101</v>
      </c>
      <c r="B101" s="1">
        <v>2</v>
      </c>
      <c r="C101" s="1">
        <v>2</v>
      </c>
      <c r="D101" s="1">
        <v>2</v>
      </c>
      <c r="E101" s="1"/>
      <c r="F101" s="1">
        <v>2</v>
      </c>
      <c r="G101" s="1">
        <v>0</v>
      </c>
      <c r="H101" s="1">
        <v>0</v>
      </c>
      <c r="I101" s="1">
        <v>0</v>
      </c>
      <c r="J101" s="1">
        <v>2</v>
      </c>
      <c r="K101" s="1">
        <v>2</v>
      </c>
      <c r="L101" s="1">
        <v>2</v>
      </c>
      <c r="M101" s="1">
        <v>2</v>
      </c>
      <c r="N101" s="1">
        <v>2</v>
      </c>
      <c r="O101" s="1">
        <v>2</v>
      </c>
      <c r="P101" s="1">
        <v>2</v>
      </c>
      <c r="Q101" s="1">
        <v>2</v>
      </c>
      <c r="R101" s="1">
        <v>2</v>
      </c>
      <c r="S101" s="1">
        <v>2</v>
      </c>
      <c r="T101" s="1">
        <v>2</v>
      </c>
      <c r="U101" s="1">
        <v>2</v>
      </c>
      <c r="V101" s="1">
        <v>2</v>
      </c>
      <c r="W101" s="1">
        <v>2</v>
      </c>
      <c r="X101" s="1"/>
      <c r="Y101" s="1"/>
    </row>
    <row r="102" spans="1:25" ht="14.4" x14ac:dyDescent="0.3">
      <c r="A102" s="13" t="s">
        <v>102</v>
      </c>
      <c r="B102" s="1">
        <v>1</v>
      </c>
      <c r="C102" s="1">
        <v>1</v>
      </c>
      <c r="D102" s="1">
        <v>1</v>
      </c>
      <c r="E102" s="1">
        <v>1</v>
      </c>
      <c r="F102" s="1">
        <v>2</v>
      </c>
      <c r="G102" s="1">
        <v>2</v>
      </c>
      <c r="H102" s="1">
        <v>2</v>
      </c>
      <c r="I102" s="1">
        <v>2</v>
      </c>
      <c r="J102" s="1">
        <v>2</v>
      </c>
      <c r="K102" s="1">
        <v>2</v>
      </c>
      <c r="L102" s="1">
        <v>2</v>
      </c>
      <c r="M102" s="1">
        <v>2</v>
      </c>
      <c r="N102" s="1">
        <v>2</v>
      </c>
      <c r="O102" s="1">
        <v>2</v>
      </c>
      <c r="P102" s="1">
        <v>2</v>
      </c>
      <c r="Q102" s="1">
        <v>1</v>
      </c>
      <c r="R102" s="1">
        <v>2</v>
      </c>
      <c r="S102" s="1">
        <v>1</v>
      </c>
      <c r="T102" s="1">
        <v>1</v>
      </c>
      <c r="U102" s="1">
        <v>2</v>
      </c>
      <c r="V102" s="1">
        <v>1</v>
      </c>
      <c r="W102" s="1">
        <v>1</v>
      </c>
      <c r="X102" s="1"/>
      <c r="Y102" s="1"/>
    </row>
    <row r="103" spans="1:25" ht="14.4" x14ac:dyDescent="0.3">
      <c r="A103" s="13" t="s">
        <v>103</v>
      </c>
      <c r="B103" s="1">
        <v>2</v>
      </c>
      <c r="C103" s="1">
        <v>1</v>
      </c>
      <c r="D103" s="1">
        <v>2</v>
      </c>
      <c r="E103" s="1">
        <v>1</v>
      </c>
      <c r="F103" s="1">
        <v>2</v>
      </c>
      <c r="G103" s="1">
        <v>2</v>
      </c>
      <c r="H103" s="1">
        <v>2</v>
      </c>
      <c r="I103" s="1">
        <v>2</v>
      </c>
      <c r="J103" s="1">
        <v>2</v>
      </c>
      <c r="K103" s="1">
        <v>2</v>
      </c>
      <c r="L103" s="1">
        <v>2</v>
      </c>
      <c r="M103" s="1">
        <v>2</v>
      </c>
      <c r="N103" s="1">
        <v>2</v>
      </c>
      <c r="O103" s="1">
        <v>2</v>
      </c>
      <c r="P103" s="1">
        <v>2</v>
      </c>
      <c r="Q103" s="1">
        <v>2</v>
      </c>
      <c r="R103" s="1">
        <v>2</v>
      </c>
      <c r="S103" s="1">
        <v>2</v>
      </c>
      <c r="T103" s="1">
        <v>2</v>
      </c>
      <c r="U103" s="1">
        <v>1</v>
      </c>
      <c r="V103" s="1">
        <v>2</v>
      </c>
      <c r="W103" s="1">
        <v>2</v>
      </c>
      <c r="X103" s="1"/>
      <c r="Y103" s="1"/>
    </row>
    <row r="104" spans="1:25" ht="14.4" x14ac:dyDescent="0.3">
      <c r="A104" s="13" t="s">
        <v>104</v>
      </c>
      <c r="B104" s="1">
        <v>2</v>
      </c>
      <c r="C104" s="1">
        <v>2</v>
      </c>
      <c r="D104" s="1">
        <v>2</v>
      </c>
      <c r="E104" s="1"/>
      <c r="F104" s="1">
        <v>2</v>
      </c>
      <c r="G104" s="1">
        <v>0</v>
      </c>
      <c r="H104" s="1">
        <v>2</v>
      </c>
      <c r="I104" s="1">
        <v>1</v>
      </c>
      <c r="J104" s="1">
        <v>0</v>
      </c>
      <c r="K104" s="1">
        <v>2</v>
      </c>
      <c r="L104" s="1">
        <v>2</v>
      </c>
      <c r="M104" s="1">
        <v>2</v>
      </c>
      <c r="N104" s="1">
        <v>0</v>
      </c>
      <c r="O104" s="1">
        <v>2</v>
      </c>
      <c r="P104" s="1">
        <v>1</v>
      </c>
      <c r="Q104" s="1">
        <v>1</v>
      </c>
      <c r="R104" s="1">
        <v>1</v>
      </c>
      <c r="S104" s="1">
        <v>1</v>
      </c>
      <c r="T104" s="1">
        <v>1</v>
      </c>
      <c r="U104" s="1">
        <v>2</v>
      </c>
      <c r="V104" s="1">
        <v>1</v>
      </c>
      <c r="W104" s="1">
        <v>1</v>
      </c>
      <c r="X104" s="1"/>
      <c r="Y104" s="1"/>
    </row>
    <row r="105" spans="1:25" ht="14.4" x14ac:dyDescent="0.3">
      <c r="A105" s="13" t="s">
        <v>105</v>
      </c>
      <c r="B105" s="1">
        <v>2</v>
      </c>
      <c r="C105" s="1">
        <v>2</v>
      </c>
      <c r="D105" s="1">
        <v>2</v>
      </c>
      <c r="E105" s="1"/>
      <c r="F105" s="1">
        <v>2</v>
      </c>
      <c r="G105" s="1">
        <v>2</v>
      </c>
      <c r="H105" s="1">
        <v>2</v>
      </c>
      <c r="I105" s="1">
        <v>2</v>
      </c>
      <c r="J105" s="1">
        <v>2</v>
      </c>
      <c r="K105" s="1">
        <v>1</v>
      </c>
      <c r="L105" s="1">
        <v>1</v>
      </c>
      <c r="M105" s="1">
        <v>1</v>
      </c>
      <c r="N105" s="1">
        <v>1</v>
      </c>
      <c r="O105" s="1">
        <v>2</v>
      </c>
      <c r="P105" s="1">
        <v>2</v>
      </c>
      <c r="Q105" s="1">
        <v>2</v>
      </c>
      <c r="R105" s="1">
        <v>2</v>
      </c>
      <c r="S105" s="1">
        <v>2</v>
      </c>
      <c r="T105" s="1">
        <v>2</v>
      </c>
      <c r="U105" s="1">
        <v>2</v>
      </c>
      <c r="V105" s="1">
        <v>2</v>
      </c>
      <c r="W105" s="1">
        <v>2</v>
      </c>
      <c r="X105" s="1"/>
      <c r="Y105" s="1"/>
    </row>
    <row r="106" spans="1:25" ht="14.4" x14ac:dyDescent="0.3">
      <c r="A106" s="13" t="s">
        <v>106</v>
      </c>
      <c r="B106" s="1">
        <v>2</v>
      </c>
      <c r="C106" s="1">
        <v>2</v>
      </c>
      <c r="D106" s="1">
        <v>2</v>
      </c>
      <c r="E106" s="1"/>
      <c r="F106" s="1">
        <v>2</v>
      </c>
      <c r="G106" s="1">
        <v>2</v>
      </c>
      <c r="H106" s="1">
        <v>0</v>
      </c>
      <c r="I106" s="1">
        <v>0</v>
      </c>
      <c r="J106" s="1">
        <v>1</v>
      </c>
      <c r="K106" s="1">
        <v>2</v>
      </c>
      <c r="L106" s="1">
        <v>2</v>
      </c>
      <c r="M106" s="1">
        <v>2</v>
      </c>
      <c r="N106" s="1">
        <v>2</v>
      </c>
      <c r="O106" s="1">
        <v>0</v>
      </c>
      <c r="P106" s="1">
        <v>0</v>
      </c>
      <c r="Q106" s="1">
        <v>2</v>
      </c>
      <c r="R106" s="1">
        <v>2</v>
      </c>
      <c r="S106" s="1">
        <v>2</v>
      </c>
      <c r="T106" s="1">
        <v>2</v>
      </c>
      <c r="U106" s="1">
        <v>2</v>
      </c>
      <c r="V106" s="1">
        <v>2</v>
      </c>
      <c r="W106" s="1">
        <v>2</v>
      </c>
      <c r="X106" s="1"/>
      <c r="Y106" s="1"/>
    </row>
    <row r="107" spans="1:25" ht="14.4" x14ac:dyDescent="0.3">
      <c r="A107" s="10" t="s">
        <v>107</v>
      </c>
      <c r="B107" s="1">
        <v>2</v>
      </c>
      <c r="C107" s="1">
        <v>1</v>
      </c>
      <c r="D107" s="1">
        <v>2</v>
      </c>
      <c r="E107" s="1">
        <v>1</v>
      </c>
      <c r="F107" s="1">
        <v>2</v>
      </c>
      <c r="G107" s="1">
        <v>0</v>
      </c>
      <c r="H107" s="1">
        <v>0</v>
      </c>
      <c r="I107" s="1">
        <v>2</v>
      </c>
      <c r="J107" s="1">
        <v>2</v>
      </c>
      <c r="K107" s="1">
        <v>2</v>
      </c>
      <c r="L107" s="1">
        <v>1</v>
      </c>
      <c r="M107" s="1">
        <v>2</v>
      </c>
      <c r="N107" s="1">
        <v>2</v>
      </c>
      <c r="O107" s="1">
        <v>2</v>
      </c>
      <c r="P107" s="1">
        <v>1</v>
      </c>
      <c r="Q107" s="1">
        <v>1</v>
      </c>
      <c r="R107" s="1">
        <v>2</v>
      </c>
      <c r="S107" s="1">
        <v>2</v>
      </c>
      <c r="T107" s="1">
        <v>0</v>
      </c>
      <c r="U107" s="1">
        <v>2</v>
      </c>
      <c r="V107" s="1">
        <v>2</v>
      </c>
      <c r="W107" s="1">
        <v>2</v>
      </c>
      <c r="X107" s="1"/>
      <c r="Y107" s="1"/>
    </row>
    <row r="108" spans="1:25" ht="14.4" x14ac:dyDescent="0.3">
      <c r="A108" s="10" t="s">
        <v>108</v>
      </c>
      <c r="B108" s="1">
        <v>2</v>
      </c>
      <c r="C108" s="1">
        <v>2</v>
      </c>
      <c r="D108" s="1">
        <v>2</v>
      </c>
      <c r="E108" s="1">
        <v>1</v>
      </c>
      <c r="F108" s="1">
        <v>2</v>
      </c>
      <c r="G108" s="1">
        <v>2</v>
      </c>
      <c r="H108" s="1">
        <v>2</v>
      </c>
      <c r="I108" s="1">
        <v>1</v>
      </c>
      <c r="J108" s="1">
        <v>1</v>
      </c>
      <c r="K108" s="1">
        <v>2</v>
      </c>
      <c r="L108" s="1">
        <v>2</v>
      </c>
      <c r="M108" s="1">
        <v>2</v>
      </c>
      <c r="N108" s="1">
        <v>2</v>
      </c>
      <c r="O108" s="1">
        <v>2</v>
      </c>
      <c r="P108" s="1">
        <v>2</v>
      </c>
      <c r="Q108" s="1">
        <v>2</v>
      </c>
      <c r="R108" s="1">
        <v>2</v>
      </c>
      <c r="S108" s="1">
        <v>2</v>
      </c>
      <c r="T108" s="1">
        <v>0</v>
      </c>
      <c r="U108" s="1">
        <v>2</v>
      </c>
      <c r="V108" s="1">
        <v>2</v>
      </c>
      <c r="W108" s="1">
        <v>1</v>
      </c>
      <c r="X108" s="1"/>
      <c r="Y108" s="1"/>
    </row>
    <row r="109" spans="1:25" ht="14.4" x14ac:dyDescent="0.3">
      <c r="A109" s="10" t="s">
        <v>109</v>
      </c>
      <c r="B109" s="1">
        <v>0</v>
      </c>
      <c r="C109" s="1">
        <v>2</v>
      </c>
      <c r="D109" s="1">
        <v>2</v>
      </c>
      <c r="E109" s="1"/>
      <c r="F109" s="1">
        <v>2</v>
      </c>
      <c r="G109" s="1">
        <v>2</v>
      </c>
      <c r="H109" s="1">
        <v>2</v>
      </c>
      <c r="I109" s="1">
        <v>2</v>
      </c>
      <c r="J109" s="1">
        <v>2</v>
      </c>
      <c r="K109" s="1">
        <v>1</v>
      </c>
      <c r="L109" s="1">
        <v>1</v>
      </c>
      <c r="M109" s="1">
        <v>1</v>
      </c>
      <c r="N109" s="1">
        <v>1</v>
      </c>
      <c r="O109" s="1">
        <v>2</v>
      </c>
      <c r="P109" s="1">
        <v>1</v>
      </c>
      <c r="Q109" s="1">
        <v>2</v>
      </c>
      <c r="R109" s="1">
        <v>2</v>
      </c>
      <c r="S109" s="1">
        <v>2</v>
      </c>
      <c r="T109" s="1">
        <v>1</v>
      </c>
      <c r="U109" s="1">
        <v>2</v>
      </c>
      <c r="V109" s="1">
        <v>2</v>
      </c>
      <c r="W109" s="1">
        <v>2</v>
      </c>
      <c r="X109" s="1"/>
      <c r="Y109" s="1"/>
    </row>
    <row r="110" spans="1:25" ht="14.4" x14ac:dyDescent="0.3">
      <c r="A110" s="10" t="s">
        <v>110</v>
      </c>
      <c r="B110" s="1">
        <v>2</v>
      </c>
      <c r="C110" s="1">
        <v>1</v>
      </c>
      <c r="D110" s="1">
        <v>2</v>
      </c>
      <c r="E110" s="1"/>
      <c r="F110" s="1">
        <v>2</v>
      </c>
      <c r="G110" s="1">
        <v>2</v>
      </c>
      <c r="H110" s="1">
        <v>2</v>
      </c>
      <c r="I110" s="1">
        <v>2</v>
      </c>
      <c r="J110" s="1">
        <v>2</v>
      </c>
      <c r="K110" s="1">
        <v>2</v>
      </c>
      <c r="L110" s="1">
        <v>2</v>
      </c>
      <c r="M110" s="1">
        <v>2</v>
      </c>
      <c r="N110" s="1">
        <v>0</v>
      </c>
      <c r="O110" s="1">
        <v>1</v>
      </c>
      <c r="P110" s="1">
        <v>2</v>
      </c>
      <c r="Q110" s="1">
        <v>2</v>
      </c>
      <c r="R110" s="1">
        <v>2</v>
      </c>
      <c r="S110" s="1">
        <v>0</v>
      </c>
      <c r="T110" s="1">
        <v>0</v>
      </c>
      <c r="U110" s="1">
        <v>2</v>
      </c>
      <c r="V110" s="1">
        <v>2</v>
      </c>
      <c r="W110" s="1">
        <v>0</v>
      </c>
      <c r="X110" s="1"/>
      <c r="Y110" s="1"/>
    </row>
    <row r="111" spans="1:25" ht="14.4" x14ac:dyDescent="0.3">
      <c r="A111" s="10" t="s">
        <v>111</v>
      </c>
      <c r="B111" s="1">
        <v>2</v>
      </c>
      <c r="C111" s="1">
        <v>2</v>
      </c>
      <c r="D111" s="1">
        <v>2</v>
      </c>
      <c r="E111" s="1"/>
      <c r="F111" s="1">
        <v>2</v>
      </c>
      <c r="G111" s="1">
        <v>2</v>
      </c>
      <c r="H111" s="1">
        <v>2</v>
      </c>
      <c r="I111" s="1">
        <v>1</v>
      </c>
      <c r="J111" s="1">
        <v>1</v>
      </c>
      <c r="K111" s="1">
        <v>1</v>
      </c>
      <c r="L111" s="1">
        <v>2</v>
      </c>
      <c r="M111" s="1">
        <v>2</v>
      </c>
      <c r="N111" s="1">
        <v>2</v>
      </c>
      <c r="O111" s="1">
        <v>2</v>
      </c>
      <c r="P111" s="1">
        <v>2</v>
      </c>
      <c r="Q111" s="1">
        <v>1</v>
      </c>
      <c r="R111" s="1">
        <v>2</v>
      </c>
      <c r="S111" s="1">
        <v>2</v>
      </c>
      <c r="T111" s="1">
        <v>2</v>
      </c>
      <c r="U111" s="1">
        <v>2</v>
      </c>
      <c r="V111" s="1">
        <v>2</v>
      </c>
      <c r="W111" s="1">
        <v>2</v>
      </c>
      <c r="X111" s="1"/>
      <c r="Y111" s="1"/>
    </row>
    <row r="112" spans="1:25" ht="14.4" x14ac:dyDescent="0.3">
      <c r="A112" s="14" t="s">
        <v>112</v>
      </c>
      <c r="B112" s="1">
        <v>0</v>
      </c>
      <c r="C112" s="1">
        <v>2</v>
      </c>
      <c r="D112" s="1">
        <v>2</v>
      </c>
      <c r="E112" s="1">
        <v>0</v>
      </c>
      <c r="F112" s="1">
        <v>0</v>
      </c>
      <c r="G112" s="1">
        <v>0</v>
      </c>
      <c r="H112" s="1">
        <v>2</v>
      </c>
      <c r="I112" s="1">
        <v>0</v>
      </c>
      <c r="J112" s="1">
        <v>0</v>
      </c>
      <c r="K112" s="1">
        <v>1</v>
      </c>
      <c r="L112" s="1">
        <v>2</v>
      </c>
      <c r="M112" s="1">
        <v>2</v>
      </c>
      <c r="N112" s="1">
        <v>2</v>
      </c>
      <c r="O112" s="1">
        <v>2</v>
      </c>
      <c r="P112" s="1">
        <v>0</v>
      </c>
      <c r="Q112" s="1">
        <v>2</v>
      </c>
      <c r="R112" s="1">
        <v>2</v>
      </c>
      <c r="S112" s="1">
        <v>2</v>
      </c>
      <c r="T112" s="1">
        <v>1</v>
      </c>
      <c r="U112" s="1">
        <v>2</v>
      </c>
      <c r="V112" s="1">
        <v>2</v>
      </c>
      <c r="W112" s="1">
        <v>0</v>
      </c>
      <c r="X112" s="1"/>
      <c r="Y112" s="1"/>
    </row>
    <row r="113" spans="1:25" ht="14.4" x14ac:dyDescent="0.3">
      <c r="A113" s="10" t="s">
        <v>113</v>
      </c>
      <c r="B113" s="1">
        <v>2</v>
      </c>
      <c r="C113" s="1">
        <v>2</v>
      </c>
      <c r="D113" s="1">
        <v>2</v>
      </c>
      <c r="E113" s="1"/>
      <c r="F113" s="1">
        <v>2</v>
      </c>
      <c r="G113" s="1">
        <v>2</v>
      </c>
      <c r="H113" s="1">
        <v>2</v>
      </c>
      <c r="I113" s="1">
        <v>2</v>
      </c>
      <c r="J113" s="1">
        <v>2</v>
      </c>
      <c r="K113" s="1">
        <v>2</v>
      </c>
      <c r="L113" s="1">
        <v>2</v>
      </c>
      <c r="M113" s="1">
        <v>2</v>
      </c>
      <c r="N113" s="1">
        <v>2</v>
      </c>
      <c r="O113" s="1">
        <v>2</v>
      </c>
      <c r="P113" s="1">
        <v>2</v>
      </c>
      <c r="Q113" s="1">
        <v>2</v>
      </c>
      <c r="R113" s="1">
        <v>2</v>
      </c>
      <c r="S113" s="1">
        <v>2</v>
      </c>
      <c r="T113" s="1">
        <v>2</v>
      </c>
      <c r="U113" s="1">
        <v>2</v>
      </c>
      <c r="V113" s="1">
        <v>2</v>
      </c>
      <c r="W113" s="1">
        <v>2</v>
      </c>
      <c r="X113" s="1"/>
      <c r="Y113" s="1"/>
    </row>
    <row r="114" spans="1:25" ht="14.4" x14ac:dyDescent="0.3">
      <c r="A114" s="10" t="s">
        <v>114</v>
      </c>
      <c r="B114" s="1">
        <v>0</v>
      </c>
      <c r="C114" s="1">
        <v>2</v>
      </c>
      <c r="D114" s="1">
        <v>2</v>
      </c>
      <c r="E114" s="1">
        <v>1</v>
      </c>
      <c r="F114" s="1">
        <v>2</v>
      </c>
      <c r="G114" s="1">
        <v>2</v>
      </c>
      <c r="H114" s="1">
        <v>0</v>
      </c>
      <c r="I114" s="1">
        <v>0</v>
      </c>
      <c r="J114" s="1">
        <v>0</v>
      </c>
      <c r="K114" s="1">
        <v>2</v>
      </c>
      <c r="L114" s="1">
        <v>2</v>
      </c>
      <c r="M114" s="1">
        <v>2</v>
      </c>
      <c r="N114" s="1">
        <v>2</v>
      </c>
      <c r="O114" s="1">
        <v>2</v>
      </c>
      <c r="P114" s="1">
        <v>2</v>
      </c>
      <c r="Q114" s="1">
        <v>2</v>
      </c>
      <c r="R114" s="1">
        <v>2</v>
      </c>
      <c r="S114" s="1">
        <v>2</v>
      </c>
      <c r="T114" s="1">
        <v>2</v>
      </c>
      <c r="U114" s="1">
        <v>2</v>
      </c>
      <c r="V114" s="1">
        <v>2</v>
      </c>
      <c r="W114" s="1">
        <v>0</v>
      </c>
      <c r="X114" s="1"/>
      <c r="Y114" s="1"/>
    </row>
    <row r="115" spans="1:25" ht="14.4" x14ac:dyDescent="0.3">
      <c r="A115" s="14" t="s">
        <v>115</v>
      </c>
      <c r="B115" s="1">
        <v>2</v>
      </c>
      <c r="C115" s="1">
        <v>2</v>
      </c>
      <c r="D115" s="1">
        <v>2</v>
      </c>
      <c r="E115" s="1"/>
      <c r="F115" s="1">
        <v>2</v>
      </c>
      <c r="G115" s="1">
        <v>2</v>
      </c>
      <c r="H115" s="1">
        <v>0</v>
      </c>
      <c r="I115" s="1">
        <v>0</v>
      </c>
      <c r="J115" s="1">
        <v>0</v>
      </c>
      <c r="K115" s="1">
        <v>2</v>
      </c>
      <c r="L115" s="1">
        <v>2</v>
      </c>
      <c r="M115" s="1">
        <v>0</v>
      </c>
      <c r="N115" s="1">
        <v>2</v>
      </c>
      <c r="O115" s="1">
        <v>2</v>
      </c>
      <c r="P115" s="1">
        <v>2</v>
      </c>
      <c r="Q115" s="1">
        <v>2</v>
      </c>
      <c r="R115" s="1">
        <v>2</v>
      </c>
      <c r="S115" s="1">
        <v>2</v>
      </c>
      <c r="T115" s="1">
        <v>2</v>
      </c>
      <c r="U115" s="1">
        <v>2</v>
      </c>
      <c r="V115" s="1">
        <v>2</v>
      </c>
      <c r="W115" s="1">
        <v>2</v>
      </c>
      <c r="X115" s="1"/>
      <c r="Y115" s="1"/>
    </row>
    <row r="116" spans="1:25" ht="14.4" x14ac:dyDescent="0.3">
      <c r="A116" s="11" t="s">
        <v>116</v>
      </c>
      <c r="B116" s="1">
        <v>2</v>
      </c>
      <c r="C116" s="1">
        <v>2</v>
      </c>
      <c r="D116" s="1">
        <v>2</v>
      </c>
      <c r="E116" s="1"/>
      <c r="F116" s="1">
        <v>2</v>
      </c>
      <c r="G116" s="1">
        <v>2</v>
      </c>
      <c r="H116" s="1">
        <v>2</v>
      </c>
      <c r="I116" s="1">
        <v>2</v>
      </c>
      <c r="J116" s="1">
        <v>2</v>
      </c>
      <c r="K116" s="1">
        <v>2</v>
      </c>
      <c r="L116" s="1">
        <v>0</v>
      </c>
      <c r="M116" s="1">
        <v>2</v>
      </c>
      <c r="N116" s="1">
        <v>2</v>
      </c>
      <c r="O116" s="1">
        <v>2</v>
      </c>
      <c r="P116" s="1">
        <v>2</v>
      </c>
      <c r="Q116" s="1">
        <v>1</v>
      </c>
      <c r="R116" s="1">
        <v>1</v>
      </c>
      <c r="S116" s="1">
        <v>1</v>
      </c>
      <c r="T116" s="1">
        <v>1</v>
      </c>
      <c r="U116" s="1">
        <v>2</v>
      </c>
      <c r="V116" s="1">
        <v>2</v>
      </c>
      <c r="W116" s="1">
        <v>2</v>
      </c>
      <c r="X116" s="1"/>
      <c r="Y116" s="1"/>
    </row>
    <row r="117" spans="1:25" ht="14.4" x14ac:dyDescent="0.3">
      <c r="A117" s="10" t="s">
        <v>117</v>
      </c>
      <c r="B117" s="1">
        <v>1</v>
      </c>
      <c r="C117" s="1">
        <v>0</v>
      </c>
      <c r="D117" s="1">
        <v>2</v>
      </c>
      <c r="E117" s="1">
        <v>0</v>
      </c>
      <c r="F117" s="1">
        <v>2</v>
      </c>
      <c r="G117" s="1">
        <v>2</v>
      </c>
      <c r="H117" s="1">
        <v>1</v>
      </c>
      <c r="I117" s="1">
        <v>2</v>
      </c>
      <c r="J117" s="1">
        <v>2</v>
      </c>
      <c r="K117" s="1">
        <v>1</v>
      </c>
      <c r="L117" s="1">
        <v>2</v>
      </c>
      <c r="M117" s="1">
        <v>2</v>
      </c>
      <c r="N117" s="1">
        <v>2</v>
      </c>
      <c r="O117" s="1">
        <v>2</v>
      </c>
      <c r="P117" s="1">
        <v>2</v>
      </c>
      <c r="Q117" s="1">
        <v>2</v>
      </c>
      <c r="R117" s="1">
        <v>2</v>
      </c>
      <c r="S117" s="1">
        <v>1</v>
      </c>
      <c r="T117" s="1">
        <v>1</v>
      </c>
      <c r="U117" s="1">
        <v>0</v>
      </c>
      <c r="V117" s="1">
        <v>2</v>
      </c>
      <c r="W117" s="1">
        <v>1</v>
      </c>
      <c r="X117" s="1"/>
      <c r="Y117" s="1"/>
    </row>
    <row r="120" spans="1:25" ht="13.2" x14ac:dyDescent="0.25">
      <c r="A120" s="4" t="s">
        <v>118</v>
      </c>
      <c r="B120" s="3">
        <v>45931</v>
      </c>
      <c r="C120" s="3">
        <v>45932</v>
      </c>
      <c r="D120" s="3">
        <v>45933</v>
      </c>
      <c r="E120" s="3">
        <v>45934</v>
      </c>
      <c r="F120" s="3">
        <v>45937</v>
      </c>
      <c r="G120" s="4" t="s">
        <v>2</v>
      </c>
      <c r="H120" s="3">
        <v>45939</v>
      </c>
      <c r="I120" s="3">
        <v>45940</v>
      </c>
      <c r="J120" s="3">
        <v>45941</v>
      </c>
      <c r="K120" s="3">
        <v>45944</v>
      </c>
      <c r="L120" s="3">
        <v>45945</v>
      </c>
      <c r="M120" s="3">
        <v>45946</v>
      </c>
      <c r="N120" s="3">
        <v>45947</v>
      </c>
      <c r="O120" s="3">
        <v>45948</v>
      </c>
      <c r="P120" s="3">
        <v>45951</v>
      </c>
      <c r="Q120" s="3">
        <v>45952</v>
      </c>
      <c r="R120" s="3">
        <v>45953</v>
      </c>
      <c r="S120" s="3">
        <v>45954</v>
      </c>
      <c r="T120" s="3">
        <v>45955</v>
      </c>
      <c r="U120" s="3">
        <v>45958</v>
      </c>
      <c r="V120" s="3">
        <v>45959</v>
      </c>
      <c r="W120" s="3">
        <v>45960</v>
      </c>
      <c r="X120" s="15" t="s">
        <v>119</v>
      </c>
      <c r="Y120" s="15" t="s">
        <v>120</v>
      </c>
    </row>
    <row r="121" spans="1:25" ht="15.6" x14ac:dyDescent="0.3">
      <c r="A121" s="16">
        <v>0</v>
      </c>
      <c r="B121" s="1">
        <f t="array" ref="B121:B124">FREQUENCY(B3:B117,A121:A123)</f>
        <v>6</v>
      </c>
      <c r="C121" s="1">
        <f t="array" ref="C121:C123">FREQUENCY(C3:C117,A121:A122)</f>
        <v>4</v>
      </c>
      <c r="D121" s="1">
        <f t="array" ref="D121:D124">FREQUENCY(D3:D117,A121:A123)</f>
        <v>1</v>
      </c>
      <c r="E121" s="1">
        <f t="array" ref="E121:E124">FREQUENCY(E3:E117,A121:A123)</f>
        <v>3</v>
      </c>
      <c r="F121" s="1">
        <f t="array" ref="F121:F124">FREQUENCY(F3:F117,A121:A123)</f>
        <v>6</v>
      </c>
      <c r="G121" s="1">
        <f t="array" ref="G121:G124">FREQUENCY(G3:G117,A121:A123)</f>
        <v>15</v>
      </c>
      <c r="H121" s="1">
        <f t="array" ref="H121:H124">FREQUENCY(H3:H117,A121:A123)</f>
        <v>40</v>
      </c>
      <c r="I121" s="1">
        <f t="array" ref="I121:I124">FREQUENCY(I3:I117,A121:A123)</f>
        <v>30</v>
      </c>
      <c r="J121" s="1">
        <f t="array" ref="J121:J124">FREQUENCY(J3:J117,A121:A123)</f>
        <v>22</v>
      </c>
      <c r="K121" s="1">
        <f t="array" ref="K121:K124">FREQUENCY(K3:K117,A121:A123)</f>
        <v>4</v>
      </c>
      <c r="L121" s="1">
        <f t="array" ref="L121:L124">FREQUENCY(L3:L117,A121:A123)</f>
        <v>12</v>
      </c>
      <c r="M121" s="1">
        <f t="array" ref="M121:M124">FREQUENCY(M3:M117,A121:A123)</f>
        <v>11</v>
      </c>
      <c r="N121" s="1">
        <f t="array" ref="N121:N124">FREQUENCY(N3:N117,A121:A123)</f>
        <v>22</v>
      </c>
      <c r="O121" s="1">
        <f t="array" ref="O121:O124">FREQUENCY(O3:O117,A121:A123)</f>
        <v>24</v>
      </c>
      <c r="P121" s="1">
        <f t="array" ref="P121:P124">FREQUENCY(P3:P117,A121:A123)</f>
        <v>16</v>
      </c>
      <c r="Q121" s="1">
        <f t="array" ref="Q121:Q124">FREQUENCY(Q3:Q117,A121:A123)</f>
        <v>5</v>
      </c>
      <c r="R121" s="1">
        <f t="array" ref="R121:R124">FREQUENCY(R3:R117,A121:A123)</f>
        <v>1</v>
      </c>
      <c r="S121" s="1">
        <f t="array" ref="S121:S124">FREQUENCY(S3:S117,A121:A123)</f>
        <v>30</v>
      </c>
      <c r="T121" s="1">
        <f t="array" ref="T121:T124">FREQUENCY(T3:T117,A121:A123)</f>
        <v>19</v>
      </c>
      <c r="U121" s="1">
        <f t="array" ref="U121:U123">FREQUENCY(U3:U117,A121:A122)</f>
        <v>19</v>
      </c>
      <c r="V121" s="1">
        <f t="array" ref="V121:V123">FREQUENCY(V3:V117,A121:A122)</f>
        <v>15</v>
      </c>
      <c r="W121" s="1">
        <f t="array" ref="W121:W123">FREQUENCY(W3:W117,A121:A122)</f>
        <v>16</v>
      </c>
      <c r="X121" s="4">
        <f>AVERAGE(B121:W121)</f>
        <v>14.590909090909092</v>
      </c>
      <c r="Y121" s="4">
        <f>STDEV(B121:W121)</f>
        <v>10.576969999593191</v>
      </c>
    </row>
    <row r="122" spans="1:25" ht="15.6" x14ac:dyDescent="0.3">
      <c r="A122" s="16">
        <v>1</v>
      </c>
      <c r="B122" s="1">
        <v>19</v>
      </c>
      <c r="C122" s="1">
        <v>17</v>
      </c>
      <c r="D122" s="1">
        <v>17</v>
      </c>
      <c r="E122" s="1">
        <v>25</v>
      </c>
      <c r="F122" s="1">
        <v>7</v>
      </c>
      <c r="G122" s="1">
        <v>9</v>
      </c>
      <c r="H122" s="1">
        <v>12</v>
      </c>
      <c r="I122" s="1">
        <v>20</v>
      </c>
      <c r="J122" s="1">
        <v>30</v>
      </c>
      <c r="K122" s="1">
        <v>18</v>
      </c>
      <c r="L122" s="1">
        <v>8</v>
      </c>
      <c r="M122" s="1">
        <v>11</v>
      </c>
      <c r="N122" s="1">
        <v>15</v>
      </c>
      <c r="O122" s="1">
        <v>13</v>
      </c>
      <c r="P122" s="1">
        <v>16</v>
      </c>
      <c r="Q122" s="1">
        <v>34</v>
      </c>
      <c r="R122" s="1">
        <v>20</v>
      </c>
      <c r="S122" s="1">
        <v>12</v>
      </c>
      <c r="T122" s="1">
        <v>22</v>
      </c>
      <c r="U122" s="1">
        <v>8</v>
      </c>
      <c r="V122" s="1">
        <v>6</v>
      </c>
      <c r="W122" s="1">
        <v>13</v>
      </c>
      <c r="X122" s="4">
        <f>AVERAGE(B122:W122)</f>
        <v>16</v>
      </c>
      <c r="Y122" s="4">
        <f>STDEV(B122:X122)</f>
        <v>7.1286872436783071</v>
      </c>
    </row>
    <row r="123" spans="1:25" ht="15.6" x14ac:dyDescent="0.3">
      <c r="A123" s="16">
        <v>2</v>
      </c>
      <c r="B123" s="1">
        <v>90</v>
      </c>
      <c r="C123" s="1">
        <v>94</v>
      </c>
      <c r="D123" s="1">
        <v>97</v>
      </c>
      <c r="E123" s="1">
        <v>0</v>
      </c>
      <c r="F123" s="1">
        <v>102</v>
      </c>
      <c r="G123" s="1">
        <v>91</v>
      </c>
      <c r="H123" s="1">
        <v>63</v>
      </c>
      <c r="I123" s="1">
        <v>65</v>
      </c>
      <c r="J123" s="1">
        <v>63</v>
      </c>
      <c r="K123" s="1">
        <v>93</v>
      </c>
      <c r="L123" s="1">
        <v>95</v>
      </c>
      <c r="M123" s="1">
        <v>93</v>
      </c>
      <c r="N123" s="1">
        <v>78</v>
      </c>
      <c r="O123" s="1">
        <v>78</v>
      </c>
      <c r="P123" s="1">
        <v>83</v>
      </c>
      <c r="Q123" s="1">
        <v>76</v>
      </c>
      <c r="R123" s="1">
        <v>94</v>
      </c>
      <c r="S123" s="1">
        <v>73</v>
      </c>
      <c r="T123" s="1">
        <v>74</v>
      </c>
      <c r="U123" s="1">
        <v>88</v>
      </c>
      <c r="V123" s="1">
        <v>94</v>
      </c>
      <c r="W123" s="1">
        <v>86</v>
      </c>
      <c r="X123" s="17"/>
      <c r="Y123" s="4">
        <f>STDEV(B123:X123)</f>
        <v>21.337932404695632</v>
      </c>
    </row>
    <row r="124" spans="1:25" ht="13.2" x14ac:dyDescent="0.25">
      <c r="A124" s="1"/>
      <c r="B124" s="4">
        <v>0</v>
      </c>
      <c r="C124" s="4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/>
      <c r="V124" s="4"/>
      <c r="W124" s="4"/>
      <c r="X124" s="4"/>
      <c r="Y124" s="4"/>
    </row>
    <row r="125" spans="1:25" ht="13.2" x14ac:dyDescent="0.25">
      <c r="A125" s="18" t="s">
        <v>119</v>
      </c>
      <c r="B125" s="4">
        <f t="shared" ref="B125:S125" si="0">AVERAGE(B121:B122)</f>
        <v>12.5</v>
      </c>
      <c r="C125" s="4">
        <f t="shared" si="0"/>
        <v>10.5</v>
      </c>
      <c r="D125" s="4">
        <f t="shared" si="0"/>
        <v>9</v>
      </c>
      <c r="E125" s="4">
        <f t="shared" si="0"/>
        <v>14</v>
      </c>
      <c r="F125" s="4">
        <f t="shared" si="0"/>
        <v>6.5</v>
      </c>
      <c r="G125" s="4">
        <f t="shared" si="0"/>
        <v>12</v>
      </c>
      <c r="H125" s="4">
        <f t="shared" si="0"/>
        <v>26</v>
      </c>
      <c r="I125" s="4">
        <f t="shared" si="0"/>
        <v>25</v>
      </c>
      <c r="J125" s="4">
        <f t="shared" si="0"/>
        <v>26</v>
      </c>
      <c r="K125" s="4">
        <f t="shared" si="0"/>
        <v>11</v>
      </c>
      <c r="L125" s="4">
        <f t="shared" si="0"/>
        <v>10</v>
      </c>
      <c r="M125" s="4">
        <f t="shared" si="0"/>
        <v>11</v>
      </c>
      <c r="N125" s="4">
        <f t="shared" si="0"/>
        <v>18.5</v>
      </c>
      <c r="O125" s="4">
        <f t="shared" si="0"/>
        <v>18.5</v>
      </c>
      <c r="P125" s="4">
        <f t="shared" si="0"/>
        <v>16</v>
      </c>
      <c r="Q125" s="4">
        <f t="shared" si="0"/>
        <v>19.5</v>
      </c>
      <c r="R125" s="4">
        <f t="shared" si="0"/>
        <v>10.5</v>
      </c>
      <c r="S125" s="4">
        <f t="shared" si="0"/>
        <v>21</v>
      </c>
      <c r="T125" s="4">
        <f>AVERAGE(T121:T122)</f>
        <v>20.5</v>
      </c>
      <c r="U125" s="4">
        <f>AVERAGE(U121:U122)</f>
        <v>13.5</v>
      </c>
      <c r="V125" s="4">
        <f>AVERAGE(V121:V122)</f>
        <v>10.5</v>
      </c>
      <c r="W125" s="4">
        <f>AVERAGE(W121:W122)</f>
        <v>14.5</v>
      </c>
      <c r="X125" s="4">
        <f>AVERAGE(B125:W125,X121:X122)</f>
        <v>15.295454545454545</v>
      </c>
      <c r="Y125" s="4"/>
    </row>
    <row r="126" spans="1:25" ht="13.2" x14ac:dyDescent="0.25">
      <c r="A126" s="1" t="s">
        <v>120</v>
      </c>
      <c r="B126" s="1">
        <f t="shared" ref="B126:X126" si="1">STDEV(B121:B122)</f>
        <v>9.1923881554251174</v>
      </c>
      <c r="C126" s="1">
        <f t="shared" si="1"/>
        <v>9.1923881554251174</v>
      </c>
      <c r="D126" s="1">
        <f t="shared" si="1"/>
        <v>11.313708498984761</v>
      </c>
      <c r="E126" s="1">
        <f t="shared" si="1"/>
        <v>15.556349186104045</v>
      </c>
      <c r="F126" s="1">
        <f t="shared" si="1"/>
        <v>0.70710678118654757</v>
      </c>
      <c r="G126" s="1">
        <f t="shared" si="1"/>
        <v>4.2426406871192848</v>
      </c>
      <c r="H126" s="1">
        <f t="shared" si="1"/>
        <v>19.798989873223331</v>
      </c>
      <c r="I126" s="1">
        <f t="shared" si="1"/>
        <v>7.0710678118654755</v>
      </c>
      <c r="J126" s="1">
        <f t="shared" si="1"/>
        <v>5.6568542494923806</v>
      </c>
      <c r="K126" s="1">
        <f t="shared" si="1"/>
        <v>9.8994949366116654</v>
      </c>
      <c r="L126" s="1">
        <f t="shared" si="1"/>
        <v>2.8284271247461903</v>
      </c>
      <c r="M126" s="1">
        <f t="shared" si="1"/>
        <v>0</v>
      </c>
      <c r="N126" s="1">
        <f t="shared" si="1"/>
        <v>4.9497474683058327</v>
      </c>
      <c r="O126" s="1">
        <f t="shared" si="1"/>
        <v>7.7781745930520225</v>
      </c>
      <c r="P126" s="1">
        <f t="shared" si="1"/>
        <v>0</v>
      </c>
      <c r="Q126" s="1">
        <f t="shared" si="1"/>
        <v>20.506096654409877</v>
      </c>
      <c r="R126" s="1">
        <f t="shared" si="1"/>
        <v>13.435028842544403</v>
      </c>
      <c r="S126" s="1">
        <f t="shared" si="1"/>
        <v>12.727922061357855</v>
      </c>
      <c r="T126" s="1">
        <f t="shared" si="1"/>
        <v>2.1213203435596424</v>
      </c>
      <c r="U126" s="1">
        <f t="shared" si="1"/>
        <v>7.7781745930520225</v>
      </c>
      <c r="V126" s="1">
        <f t="shared" si="1"/>
        <v>6.3639610306789276</v>
      </c>
      <c r="W126" s="1">
        <f t="shared" si="1"/>
        <v>2.1213203435596424</v>
      </c>
      <c r="X126" s="1">
        <f t="shared" si="1"/>
        <v>0.99637773712649824</v>
      </c>
      <c r="Y126" s="1"/>
    </row>
    <row r="128" spans="1:25" ht="13.2" x14ac:dyDescent="0.25">
      <c r="A128" s="1" t="s">
        <v>121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6" x14ac:dyDescent="0.3">
      <c r="A129" s="16">
        <v>0</v>
      </c>
      <c r="B129" s="19">
        <f ca="1">IFERROR(__xludf.DUMMYFUNCTION("PERCENTIF(B3:B117,A129:A131)"),0.0521739130434782)</f>
        <v>5.2173913043478203E-2</v>
      </c>
      <c r="C129" s="19">
        <f ca="1">IFERROR(__xludf.DUMMYFUNCTION("PERCENTIF(C3:C117,A129:A131)"),0.0347826086956521)</f>
        <v>3.4782608695652098E-2</v>
      </c>
      <c r="D129" s="19">
        <f ca="1">IFERROR(__xludf.DUMMYFUNCTION("PERCENTIF(D3:D117,A129:A131)"),0.00869565217391304)</f>
        <v>8.6956521739130401E-3</v>
      </c>
      <c r="E129" s="19">
        <f ca="1">IFERROR(__xludf.DUMMYFUNCTION("PERCENTIF(D3:D117,A129:A131)"),0.00869565217391304)</f>
        <v>8.6956521739130401E-3</v>
      </c>
      <c r="F129" s="19">
        <f ca="1">IFERROR(__xludf.DUMMYFUNCTION("PERCENTIF(F3:F117,A129:A131)"),0.0521739130434782)</f>
        <v>5.2173913043478203E-2</v>
      </c>
      <c r="G129" s="19">
        <f ca="1">IFERROR(__xludf.DUMMYFUNCTION("PERCENTIF(G3:G117,A129:A131)"),0.130434782608695)</f>
        <v>0.13043478260869501</v>
      </c>
      <c r="H129" s="19">
        <f ca="1">IFERROR(__xludf.DUMMYFUNCTION("PERCENTIF(H3:H117,A129:A131)"),0.347826086956521)</f>
        <v>0.34782608695652101</v>
      </c>
      <c r="I129" s="19">
        <f ca="1">IFERROR(__xludf.DUMMYFUNCTION("PERCENTIF(I3:I117,A129:A131)"),0.260869565217391)</f>
        <v>0.26086956521739102</v>
      </c>
      <c r="J129" s="19">
        <f ca="1">IFERROR(__xludf.DUMMYFUNCTION("PERCENTIF(J3:J117,A129:A131)"),0.191304347826086)</f>
        <v>0.19130434782608599</v>
      </c>
      <c r="K129" s="19">
        <f ca="1">IFERROR(__xludf.DUMMYFUNCTION("PERCENTIF(K3:K117,A129:A131)"),0.0347826086956521)</f>
        <v>3.4782608695652098E-2</v>
      </c>
      <c r="L129" s="19">
        <f ca="1">IFERROR(__xludf.DUMMYFUNCTION("PERCENTIF(L3:L117,A129:A131)"),0.104347826086956)</f>
        <v>0.104347826086956</v>
      </c>
      <c r="M129" s="19">
        <f ca="1">IFERROR(__xludf.DUMMYFUNCTION("PERCENTIF(M3:M117,A129:A131)"),0.0956521739130434)</f>
        <v>9.5652173913043398E-2</v>
      </c>
      <c r="N129" s="19">
        <f ca="1">IFERROR(__xludf.DUMMYFUNCTION("PERCENTIF(N3:N117,A129:A131)"),0.191304347826086)</f>
        <v>0.19130434782608599</v>
      </c>
      <c r="O129" s="19">
        <f ca="1">IFERROR(__xludf.DUMMYFUNCTION("PERCENTIF(O3:O117,A129:A131)"),0.208695652173913)</f>
        <v>0.208695652173913</v>
      </c>
      <c r="P129" s="19">
        <f ca="1">IFERROR(__xludf.DUMMYFUNCTION("PERCENTIF(P3:P117,A129:A131)"),0.139130434782608)</f>
        <v>0.139130434782608</v>
      </c>
      <c r="Q129" s="19">
        <f ca="1">IFERROR(__xludf.DUMMYFUNCTION("PERCENTIF(Q3:Q117,A129:A131)"),0.0434782608695652)</f>
        <v>4.3478260869565202E-2</v>
      </c>
      <c r="R129" s="19">
        <f ca="1">IFERROR(__xludf.DUMMYFUNCTION("PERCENTIF(R3:R117,A129:A131)"),0.00869565217391304)</f>
        <v>8.6956521739130401E-3</v>
      </c>
      <c r="S129" s="19">
        <f ca="1">IFERROR(__xludf.DUMMYFUNCTION("PERCENTIF(S3:S117,A129:A131)"),0.260869565217391)</f>
        <v>0.26086956521739102</v>
      </c>
      <c r="T129" s="19">
        <f ca="1">IFERROR(__xludf.DUMMYFUNCTION("PERCENTIF(T3:T117,A129:A131)"),0.165217391304347)</f>
        <v>0.16521739130434701</v>
      </c>
      <c r="U129" s="19">
        <f ca="1">IFERROR(__xludf.DUMMYFUNCTION("PERCENTIF(U3:U117,A129:A131)"),0.165217391304347)</f>
        <v>0.16521739130434701</v>
      </c>
      <c r="V129" s="19">
        <f ca="1">IFERROR(__xludf.DUMMYFUNCTION("PERCENTIF(V3:V117,A129:A131)"),0.130434782608695)</f>
        <v>0.13043478260869501</v>
      </c>
      <c r="W129" s="19">
        <f ca="1">IFERROR(__xludf.DUMMYFUNCTION("PERCENTIF(W3:W117,A129:A131)"),0.139130434782608)</f>
        <v>0.139130434782608</v>
      </c>
    </row>
    <row r="130" spans="1:23" ht="15.6" x14ac:dyDescent="0.3">
      <c r="A130" s="16">
        <v>1</v>
      </c>
      <c r="B130" s="19">
        <f ca="1">IFERROR(__xludf.DUMMYFUNCTION("PERCENTIF(B3:B117,A129:A131)"),0.165217391304347)</f>
        <v>0.16521739130434701</v>
      </c>
      <c r="C130" s="19">
        <f ca="1">IFERROR(__xludf.DUMMYFUNCTION("PERCENTIF(C3:C117,A130:A132)"),0.147826086956521)</f>
        <v>0.147826086956521</v>
      </c>
      <c r="D130" s="19">
        <f ca="1">IFERROR(__xludf.DUMMYFUNCTION("PERCENTIF(D3:D117,A129:A131)"),0.147826086956521)</f>
        <v>0.147826086956521</v>
      </c>
      <c r="E130" s="19">
        <f ca="1">IFERROR(__xludf.DUMMYFUNCTION("PERCENTIF(D3:D117,A129:A131)"),0.147826086956521)</f>
        <v>0.147826086956521</v>
      </c>
      <c r="F130" s="19">
        <f ca="1">IFERROR(__xludf.DUMMYFUNCTION("PERCENTIF(F3:F117,A129:A131)"),0.0608695652173913)</f>
        <v>6.08695652173913E-2</v>
      </c>
      <c r="G130" s="19">
        <f ca="1">IFERROR(__xludf.DUMMYFUNCTION("PERCENTIF(G3:G117,A129:A131)"),0.0782608695652174)</f>
        <v>7.8260869565217397E-2</v>
      </c>
      <c r="H130" s="19">
        <f ca="1">IFERROR(__xludf.DUMMYFUNCTION("PERCENTIF(H3:H117,A129:A131)"),0.104347826086956)</f>
        <v>0.104347826086956</v>
      </c>
      <c r="I130" s="19">
        <f ca="1">IFERROR(__xludf.DUMMYFUNCTION("PERCENTIF(I3:I117,A129:A131)"),0.17391304347826)</f>
        <v>0.17391304347826</v>
      </c>
      <c r="J130" s="19">
        <f ca="1">IFERROR(__xludf.DUMMYFUNCTION("PERCENTIF(J3:J117,A129:A131)"),0.260869565217391)</f>
        <v>0.26086956521739102</v>
      </c>
      <c r="K130" s="19">
        <f ca="1">IFERROR(__xludf.DUMMYFUNCTION("PERCENTIF(K3:K117,A129:A131)"),0.156521739130434)</f>
        <v>0.15652173913043399</v>
      </c>
      <c r="L130" s="19">
        <f ca="1">IFERROR(__xludf.DUMMYFUNCTION("PERCENTIF(L3:L117,A130:A132)"),0.0695652173913043)</f>
        <v>6.9565217391304293E-2</v>
      </c>
      <c r="M130" s="19">
        <f ca="1">IFERROR(__xludf.DUMMYFUNCTION("PERCENTIF(M3:M117,A129:A131)"),0.0956521739130434)</f>
        <v>9.5652173913043398E-2</v>
      </c>
      <c r="N130" s="19">
        <f ca="1">IFERROR(__xludf.DUMMYFUNCTION("PERCENTIF(N3:N117,A129:A131)"),0.130434782608695)</f>
        <v>0.13043478260869501</v>
      </c>
      <c r="O130" s="19">
        <f ca="1">IFERROR(__xludf.DUMMYFUNCTION("PERCENTIF(O3:O117,A129:A131)"),0.113043478260869)</f>
        <v>0.113043478260869</v>
      </c>
      <c r="P130" s="19">
        <f ca="1">IFERROR(__xludf.DUMMYFUNCTION("PERCENTIF(P3:P117,A129:A131)"),0.139130434782608)</f>
        <v>0.139130434782608</v>
      </c>
      <c r="Q130" s="19">
        <f ca="1">IFERROR(__xludf.DUMMYFUNCTION("PERCENTIF(Q3:Q117,A129:A131)"),0.295652173913043)</f>
        <v>0.29565217391304299</v>
      </c>
      <c r="R130" s="19">
        <f ca="1">IFERROR(__xludf.DUMMYFUNCTION("PERCENTIF(R3:R117,A129:A131)"),0.17391304347826)</f>
        <v>0.17391304347826</v>
      </c>
      <c r="S130" s="19">
        <f ca="1">IFERROR(__xludf.DUMMYFUNCTION("PERCENTIF(S3:S117,A129:A131)"),0.104347826086956)</f>
        <v>0.104347826086956</v>
      </c>
      <c r="T130" s="19">
        <f ca="1">IFERROR(__xludf.DUMMYFUNCTION("PERCENTIF(T3:T117,A129:A131)"),0.191304347826086)</f>
        <v>0.19130434782608599</v>
      </c>
      <c r="U130" s="19">
        <f ca="1">IFERROR(__xludf.DUMMYFUNCTION("PERCENTIF(U3:U117,A129:A131)"),0.0695652173913043)</f>
        <v>6.9565217391304293E-2</v>
      </c>
      <c r="V130" s="19">
        <f ca="1">IFERROR(__xludf.DUMMYFUNCTION("PERCENTIF(V3:V117,A129:A131)"),0.0521739130434782)</f>
        <v>5.2173913043478203E-2</v>
      </c>
      <c r="W130" s="19">
        <f ca="1">IFERROR(__xludf.DUMMYFUNCTION("PERCENTIF(W3:W117,A129:A131)"),0.113043478260869)</f>
        <v>0.113043478260869</v>
      </c>
    </row>
    <row r="131" spans="1:23" ht="15.6" x14ac:dyDescent="0.3">
      <c r="A131" s="16">
        <v>2</v>
      </c>
      <c r="B131" s="19">
        <f ca="1">IFERROR(__xludf.DUMMYFUNCTION("PERCENTIF(B3:B117,A129:A131)"),0.782608695652174)</f>
        <v>0.78260869565217395</v>
      </c>
      <c r="C131" s="19">
        <f ca="1">IFERROR(__xludf.DUMMYFUNCTION("PERCENTIF(C3:C117,A131:A133)"),0.817391304347826)</f>
        <v>0.81739130434782603</v>
      </c>
      <c r="D131" s="19">
        <f ca="1">IFERROR(__xludf.DUMMYFUNCTION("PERCENTIF(D3:D117,A129:A131)"),0.843478260869565)</f>
        <v>0.84347826086956501</v>
      </c>
      <c r="E131" s="19">
        <f ca="1">IFERROR(__xludf.DUMMYFUNCTION("PERCENTIF(D3:D117,A129:A131)"),0.843478260869565)</f>
        <v>0.84347826086956501</v>
      </c>
      <c r="F131" s="19">
        <f ca="1">IFERROR(__xludf.DUMMYFUNCTION("PERCENTIF(F3:F117,A129:A131)"),0.88695652173913)</f>
        <v>0.88695652173912998</v>
      </c>
      <c r="G131" s="19">
        <f ca="1">IFERROR(__xludf.DUMMYFUNCTION("PERCENTIF(G3:G117,A129:A131)"),0.791304347826086)</f>
        <v>0.79130434782608605</v>
      </c>
      <c r="H131" s="19">
        <f ca="1">IFERROR(__xludf.DUMMYFUNCTION("PERCENTIF(H3:H117,A129:A131)"),0.547826086956521)</f>
        <v>0.54782608695652102</v>
      </c>
      <c r="I131" s="19">
        <f ca="1">IFERROR(__xludf.DUMMYFUNCTION("PERCENTIF(I3:I117,A129:A131)"),0.565217391304347)</f>
        <v>0.56521739130434701</v>
      </c>
      <c r="J131" s="19">
        <f ca="1">IFERROR(__xludf.DUMMYFUNCTION("PERCENTIF(J3:J117,A129:A131)"),0.547826086956521)</f>
        <v>0.54782608695652102</v>
      </c>
      <c r="K131" s="19">
        <f ca="1">IFERROR(__xludf.DUMMYFUNCTION("PERCENTIF(K3:K117,A129:A131)"),0.808695652173913)</f>
        <v>0.80869565217391304</v>
      </c>
      <c r="L131" s="19">
        <f ca="1">IFERROR(__xludf.DUMMYFUNCTION("PERCENTIF(L3:L117,A131:A133)"),0.826086956521739)</f>
        <v>0.82608695652173902</v>
      </c>
      <c r="M131" s="19">
        <f ca="1">IFERROR(__xludf.DUMMYFUNCTION("PERCENTIF(M3:M117,A129:A131)"),0.808695652173913)</f>
        <v>0.80869565217391304</v>
      </c>
      <c r="N131" s="19">
        <f ca="1">IFERROR(__xludf.DUMMYFUNCTION("PERCENTIF(N3:N117,A129:A131)"),0.678260869565217)</f>
        <v>0.67826086956521703</v>
      </c>
      <c r="O131" s="19">
        <f ca="1">IFERROR(__xludf.DUMMYFUNCTION("PERCENTIF(O3:O117,A129:A131)"),0.678260869565217)</f>
        <v>0.67826086956521703</v>
      </c>
      <c r="P131" s="19">
        <f ca="1">IFERROR(__xludf.DUMMYFUNCTION("PERCENTIF(P3:P117,A129:A131)"),0.721739130434782)</f>
        <v>0.72173913043478199</v>
      </c>
      <c r="Q131" s="19">
        <f ca="1">IFERROR(__xludf.DUMMYFUNCTION("PERCENTIF(Q3:Q117,A129:A131)"),0.660869565217391)</f>
        <v>0.66086956521739104</v>
      </c>
      <c r="R131" s="19">
        <f ca="1">IFERROR(__xludf.DUMMYFUNCTION("PERCENTIF(R3:R117,A129:A131)"),0.817391304347826)</f>
        <v>0.81739130434782603</v>
      </c>
      <c r="S131" s="19">
        <f ca="1">IFERROR(__xludf.DUMMYFUNCTION("PERCENTIF(S3:S117,A129:A131)"),0.634782608695652)</f>
        <v>0.63478260869565195</v>
      </c>
      <c r="T131" s="19">
        <f ca="1">IFERROR(__xludf.DUMMYFUNCTION("PERCENTIF(T3:T117,A129:A131)"),0.643478260869565)</f>
        <v>0.64347826086956506</v>
      </c>
      <c r="U131" s="19">
        <f ca="1">IFERROR(__xludf.DUMMYFUNCTION("PERCENTIF(U3:U117,A129:A131)"),0.765217391304347)</f>
        <v>0.76521739130434696</v>
      </c>
      <c r="V131" s="19">
        <f ca="1">IFERROR(__xludf.DUMMYFUNCTION("PERCENTIF(V3:V117,A129:A131)"),0.817391304347826)</f>
        <v>0.81739130434782603</v>
      </c>
      <c r="W131" s="19">
        <f ca="1">IFERROR(__xludf.DUMMYFUNCTION("PERCENTIF(W3:W117,A129:A131)"),0.747826086956521)</f>
        <v>0.74782608695652097</v>
      </c>
    </row>
    <row r="132" spans="1:23" ht="15.6" x14ac:dyDescent="0.3">
      <c r="A132" s="20" t="s">
        <v>122</v>
      </c>
      <c r="B132" s="19">
        <f t="shared" ref="B132:W132" ca="1" si="2">SUM(B129:B131)</f>
        <v>0.99999999999999911</v>
      </c>
      <c r="C132" s="19">
        <f t="shared" ca="1" si="2"/>
        <v>0.99999999999999911</v>
      </c>
      <c r="D132" s="19">
        <f t="shared" ca="1" si="2"/>
        <v>0.99999999999999911</v>
      </c>
      <c r="E132" s="19">
        <f t="shared" ca="1" si="2"/>
        <v>0.99999999999999911</v>
      </c>
      <c r="F132" s="19">
        <f t="shared" ca="1" si="2"/>
        <v>0.99999999999999944</v>
      </c>
      <c r="G132" s="19">
        <f t="shared" ca="1" si="2"/>
        <v>0.99999999999999845</v>
      </c>
      <c r="H132" s="19">
        <f t="shared" ca="1" si="2"/>
        <v>0.999999999999998</v>
      </c>
      <c r="I132" s="19">
        <f t="shared" ca="1" si="2"/>
        <v>0.999999999999998</v>
      </c>
      <c r="J132" s="19">
        <f t="shared" ca="1" si="2"/>
        <v>0.999999999999998</v>
      </c>
      <c r="K132" s="19">
        <f t="shared" ca="1" si="2"/>
        <v>0.99999999999999911</v>
      </c>
      <c r="L132" s="19">
        <f t="shared" ca="1" si="2"/>
        <v>0.99999999999999933</v>
      </c>
      <c r="M132" s="19">
        <f t="shared" ca="1" si="2"/>
        <v>0.99999999999999978</v>
      </c>
      <c r="N132" s="19">
        <f t="shared" ca="1" si="2"/>
        <v>0.999999999999998</v>
      </c>
      <c r="O132" s="19">
        <f t="shared" ca="1" si="2"/>
        <v>0.999999999999999</v>
      </c>
      <c r="P132" s="19">
        <f t="shared" ca="1" si="2"/>
        <v>0.999999999999998</v>
      </c>
      <c r="Q132" s="19">
        <f t="shared" ca="1" si="2"/>
        <v>0.99999999999999922</v>
      </c>
      <c r="R132" s="19">
        <f t="shared" ca="1" si="2"/>
        <v>0.99999999999999911</v>
      </c>
      <c r="S132" s="19">
        <f t="shared" ca="1" si="2"/>
        <v>0.999999999999999</v>
      </c>
      <c r="T132" s="19">
        <f t="shared" ca="1" si="2"/>
        <v>0.999999999999998</v>
      </c>
      <c r="U132" s="19">
        <f t="shared" ca="1" si="2"/>
        <v>0.99999999999999822</v>
      </c>
      <c r="V132" s="19">
        <f t="shared" ca="1" si="2"/>
        <v>0.99999999999999922</v>
      </c>
      <c r="W132" s="19">
        <f t="shared" ca="1" si="2"/>
        <v>0.999999999999998</v>
      </c>
    </row>
    <row r="136" spans="1:23" ht="13.2" x14ac:dyDescent="0.25">
      <c r="A136" s="1"/>
      <c r="B136" s="1" t="s">
        <v>123</v>
      </c>
      <c r="C136" s="1" t="s">
        <v>124</v>
      </c>
    </row>
    <row r="137" spans="1:23" ht="13.2" x14ac:dyDescent="0.25">
      <c r="A137" s="1" t="s">
        <v>125</v>
      </c>
      <c r="B137" s="1">
        <f>COUNTA(A3:A28)</f>
        <v>26</v>
      </c>
      <c r="C137" s="21">
        <v>0.23</v>
      </c>
    </row>
    <row r="138" spans="1:23" ht="13.2" x14ac:dyDescent="0.25">
      <c r="A138" s="1" t="s">
        <v>126</v>
      </c>
      <c r="B138" s="1">
        <f>COUNTA(A29:A42)</f>
        <v>14</v>
      </c>
      <c r="C138" s="22">
        <v>0.12</v>
      </c>
    </row>
    <row r="139" spans="1:23" ht="16.2" x14ac:dyDescent="0.45">
      <c r="A139" s="1" t="s">
        <v>127</v>
      </c>
      <c r="B139" s="1">
        <f>COUNTA(A43:A81)</f>
        <v>39</v>
      </c>
      <c r="C139" s="23">
        <v>0.34</v>
      </c>
    </row>
    <row r="140" spans="1:23" ht="13.2" x14ac:dyDescent="0.25">
      <c r="A140" s="1" t="s">
        <v>128</v>
      </c>
      <c r="B140" s="1">
        <f>COUNTA(A82:A117)</f>
        <v>36</v>
      </c>
      <c r="C140" s="21">
        <v>0.31</v>
      </c>
    </row>
    <row r="141" spans="1:23" ht="13.8" x14ac:dyDescent="0.25">
      <c r="A141" s="24" t="s">
        <v>122</v>
      </c>
      <c r="B141" s="25">
        <f>SUM(B137:B140)</f>
        <v>115</v>
      </c>
      <c r="C141" s="26">
        <f>SUM(C137:C140)</f>
        <v>1</v>
      </c>
    </row>
  </sheetData>
  <conditionalFormatting sqref="A2:W117">
    <cfRule type="cellIs" dxfId="1" priority="1" operator="equal">
      <formula>1</formula>
    </cfRule>
    <cfRule type="cellIs" dxfId="0" priority="2" operator="equal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 Lusica</dc:creator>
  <cp:lastModifiedBy>Jaff Lusica</cp:lastModifiedBy>
  <dcterms:created xsi:type="dcterms:W3CDTF">2025-12-13T06:07:20Z</dcterms:created>
  <dcterms:modified xsi:type="dcterms:W3CDTF">2025-12-13T06:07:43Z</dcterms:modified>
</cp:coreProperties>
</file>